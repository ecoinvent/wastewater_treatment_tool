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mypy\code\wastewater_treatment_tool\resources\"/>
    </mc:Choice>
  </mc:AlternateContent>
  <bookViews>
    <workbookView xWindow="0" yWindow="0" windowWidth="23040" windowHeight="8520" activeTab="1"/>
  </bookViews>
  <sheets>
    <sheet name="Data_work" sheetId="1" r:id="rId1"/>
    <sheet name="Data_clean" sheetId="3" r:id="rId2"/>
    <sheet name="Source" sheetId="2" r:id="rId3"/>
  </sheets>
  <definedNames>
    <definedName name="_xlnm._FilterDatabase" localSheetId="2" hidden="1">Source!$A$8:$AT$8</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45" i="1" l="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AT252" i="2"/>
  <c r="AT251" i="2"/>
  <c r="AT250" i="2"/>
  <c r="AT249" i="2"/>
  <c r="AT248" i="2"/>
  <c r="AT247" i="2"/>
  <c r="AT246" i="2"/>
  <c r="AT245" i="2"/>
  <c r="AT244" i="2"/>
  <c r="AT243" i="2"/>
  <c r="AT242" i="2"/>
  <c r="AT241" i="2"/>
  <c r="AT240" i="2"/>
  <c r="AT239" i="2"/>
  <c r="AT238" i="2"/>
  <c r="AT237" i="2"/>
  <c r="AT236" i="2"/>
  <c r="AT235" i="2"/>
  <c r="AT234" i="2"/>
  <c r="AT233" i="2"/>
  <c r="AT232" i="2"/>
  <c r="AT231" i="2"/>
  <c r="AT230" i="2"/>
  <c r="AT229" i="2"/>
  <c r="AT228" i="2"/>
  <c r="AT227" i="2"/>
  <c r="AT226" i="2"/>
  <c r="AT225" i="2"/>
  <c r="AT224" i="2"/>
  <c r="AT223" i="2"/>
  <c r="AT222" i="2"/>
  <c r="AT221" i="2"/>
  <c r="AT220" i="2"/>
  <c r="AT219" i="2"/>
  <c r="AT218" i="2"/>
  <c r="AT217" i="2"/>
  <c r="AT216" i="2"/>
  <c r="AT215" i="2"/>
  <c r="AT214" i="2"/>
  <c r="AT213" i="2"/>
  <c r="AT212" i="2"/>
  <c r="AT211" i="2"/>
  <c r="AT210" i="2"/>
  <c r="AT209" i="2"/>
  <c r="AT208" i="2"/>
  <c r="AT207" i="2"/>
  <c r="AT206" i="2"/>
  <c r="AT205" i="2"/>
  <c r="AT204" i="2"/>
  <c r="AT203" i="2"/>
  <c r="AT202" i="2"/>
  <c r="AT201" i="2"/>
  <c r="AT200" i="2"/>
  <c r="AT199" i="2"/>
  <c r="AT198" i="2"/>
  <c r="AT197" i="2"/>
  <c r="AT196" i="2"/>
  <c r="AT195" i="2"/>
  <c r="AT194" i="2"/>
  <c r="AT193" i="2"/>
  <c r="AT192" i="2"/>
  <c r="AT191" i="2"/>
  <c r="AT190" i="2"/>
  <c r="AT189" i="2"/>
  <c r="AT188" i="2"/>
  <c r="AT187" i="2"/>
  <c r="AT186" i="2"/>
  <c r="AT185" i="2"/>
  <c r="AT184" i="2"/>
  <c r="AT183" i="2"/>
  <c r="AT182" i="2"/>
  <c r="AT181" i="2"/>
  <c r="AT180" i="2"/>
  <c r="AT179" i="2"/>
  <c r="AT178" i="2"/>
  <c r="AT177" i="2"/>
  <c r="AT176" i="2"/>
  <c r="AT175" i="2"/>
  <c r="AT174" i="2"/>
  <c r="AT173" i="2"/>
  <c r="AT172" i="2"/>
  <c r="AT171" i="2"/>
  <c r="AT170" i="2"/>
  <c r="AT169" i="2"/>
  <c r="AT168" i="2"/>
  <c r="AT167" i="2"/>
  <c r="AT166" i="2"/>
  <c r="AT165" i="2"/>
  <c r="AT164" i="2"/>
  <c r="AT163" i="2"/>
  <c r="AT162" i="2"/>
  <c r="AT161" i="2"/>
  <c r="AT160" i="2"/>
  <c r="AT159" i="2"/>
  <c r="AT158" i="2"/>
  <c r="AT157" i="2"/>
  <c r="AT156" i="2"/>
  <c r="AT155" i="2"/>
  <c r="AT154" i="2"/>
  <c r="AT153" i="2"/>
  <c r="AT152" i="2"/>
  <c r="AT151" i="2"/>
  <c r="AT150" i="2"/>
  <c r="AT149" i="2"/>
  <c r="AT148" i="2"/>
  <c r="AT147" i="2"/>
  <c r="AT146" i="2"/>
  <c r="AT145" i="2"/>
  <c r="AT144" i="2"/>
  <c r="AT143" i="2"/>
  <c r="AT142" i="2"/>
  <c r="AT141" i="2"/>
  <c r="AT140" i="2"/>
  <c r="AT139" i="2"/>
  <c r="AT138" i="2"/>
  <c r="AT137" i="2"/>
  <c r="AT136" i="2"/>
  <c r="AT135" i="2"/>
  <c r="AT134" i="2"/>
  <c r="AT133" i="2"/>
  <c r="AT132" i="2"/>
  <c r="AT131" i="2"/>
  <c r="AT130" i="2"/>
  <c r="AT129" i="2"/>
  <c r="AT128" i="2"/>
  <c r="AT127" i="2"/>
  <c r="AT126" i="2"/>
  <c r="AT125" i="2"/>
  <c r="AT124" i="2"/>
  <c r="AT123" i="2"/>
  <c r="AT122" i="2"/>
  <c r="AT121" i="2"/>
  <c r="AT120" i="2"/>
  <c r="AT119" i="2"/>
  <c r="AT118" i="2"/>
  <c r="AT117" i="2"/>
  <c r="AT116" i="2"/>
  <c r="AT115" i="2"/>
  <c r="AT114" i="2"/>
  <c r="AT113" i="2"/>
  <c r="AT112" i="2"/>
  <c r="AT111" i="2"/>
  <c r="AT110" i="2"/>
  <c r="AT109" i="2"/>
  <c r="AT108" i="2"/>
  <c r="AT107" i="2"/>
  <c r="AT106" i="2"/>
  <c r="AT105" i="2"/>
  <c r="AT104" i="2"/>
  <c r="AT103" i="2"/>
  <c r="AT102" i="2"/>
  <c r="AT101" i="2"/>
  <c r="AT100" i="2"/>
  <c r="AT99" i="2"/>
  <c r="AT98" i="2"/>
  <c r="AT97" i="2"/>
  <c r="AT96" i="2"/>
  <c r="AT95" i="2"/>
  <c r="AT94" i="2"/>
  <c r="AT93" i="2"/>
  <c r="AT92" i="2"/>
  <c r="AT91" i="2"/>
  <c r="AT90" i="2"/>
  <c r="AT89" i="2"/>
  <c r="AT88" i="2"/>
  <c r="AT87" i="2"/>
  <c r="AT86" i="2"/>
  <c r="AT85" i="2"/>
  <c r="AT84" i="2"/>
  <c r="AT83" i="2"/>
  <c r="AT82" i="2"/>
  <c r="AT81" i="2"/>
  <c r="AT80" i="2"/>
  <c r="AT79" i="2"/>
  <c r="AT78" i="2"/>
  <c r="AT77" i="2"/>
  <c r="AT76" i="2"/>
  <c r="AT75" i="2"/>
  <c r="AT74" i="2"/>
  <c r="AT73" i="2"/>
  <c r="AT72" i="2"/>
  <c r="AT71" i="2"/>
  <c r="AT70" i="2"/>
  <c r="AT69" i="2"/>
  <c r="AT68" i="2"/>
  <c r="AT67" i="2"/>
  <c r="AT66" i="2"/>
  <c r="AT65" i="2"/>
  <c r="AT64" i="2"/>
  <c r="AT63" i="2"/>
  <c r="AT62" i="2"/>
  <c r="AT61" i="2"/>
  <c r="AT60" i="2"/>
  <c r="AT59" i="2"/>
  <c r="AT58" i="2"/>
  <c r="AT57" i="2"/>
  <c r="AT56" i="2"/>
  <c r="AT55" i="2"/>
  <c r="AT54" i="2"/>
  <c r="AT53" i="2"/>
  <c r="AT52" i="2"/>
  <c r="AT51" i="2"/>
  <c r="AT50" i="2"/>
  <c r="AT49" i="2"/>
  <c r="AT48" i="2"/>
  <c r="AT47" i="2"/>
  <c r="AT46" i="2"/>
  <c r="AT45" i="2"/>
  <c r="AT44" i="2"/>
  <c r="AT43" i="2"/>
  <c r="AT42" i="2"/>
  <c r="AT41" i="2"/>
  <c r="AT40" i="2"/>
  <c r="AT39" i="2"/>
  <c r="AT38" i="2"/>
  <c r="AT37" i="2"/>
  <c r="AT36" i="2"/>
  <c r="AT35" i="2"/>
  <c r="AT34" i="2"/>
  <c r="AT33" i="2"/>
  <c r="AT32" i="2"/>
  <c r="AT31" i="2"/>
  <c r="AT30" i="2"/>
  <c r="AT29" i="2"/>
  <c r="AT28" i="2"/>
  <c r="AT27" i="2"/>
  <c r="AT26" i="2"/>
  <c r="AT25" i="2"/>
  <c r="AT24" i="2"/>
  <c r="AT23" i="2"/>
  <c r="AT22" i="2"/>
  <c r="AT21" i="2"/>
  <c r="AT20" i="2"/>
  <c r="AT19" i="2"/>
  <c r="AT18" i="2"/>
  <c r="AT17" i="2"/>
  <c r="AT16" i="2"/>
  <c r="AT15" i="2"/>
  <c r="AT14" i="2"/>
  <c r="AT13" i="2"/>
  <c r="AT12" i="2"/>
  <c r="AT11" i="2"/>
  <c r="AT10" i="2"/>
  <c r="AU252" i="2"/>
  <c r="AU251" i="2"/>
  <c r="AU250" i="2"/>
  <c r="AU249" i="2"/>
  <c r="AU248" i="2"/>
  <c r="AU247" i="2"/>
  <c r="AU246" i="2"/>
  <c r="AU245" i="2"/>
  <c r="AU244" i="2"/>
  <c r="AU243" i="2"/>
  <c r="AU242" i="2"/>
  <c r="AU241" i="2"/>
  <c r="AU240" i="2"/>
  <c r="AU239" i="2"/>
  <c r="AU238" i="2"/>
  <c r="AU237" i="2"/>
  <c r="AU236" i="2"/>
  <c r="AU235" i="2"/>
  <c r="AU234" i="2"/>
  <c r="AU233" i="2"/>
  <c r="AU232" i="2"/>
  <c r="AU231" i="2"/>
  <c r="AU230" i="2"/>
  <c r="AU229" i="2"/>
  <c r="AU228" i="2"/>
  <c r="AU227" i="2"/>
  <c r="AU226" i="2"/>
  <c r="AU225" i="2"/>
  <c r="AU224" i="2"/>
  <c r="AU223" i="2"/>
  <c r="AU222" i="2"/>
  <c r="AU221" i="2"/>
  <c r="AU220" i="2"/>
  <c r="AU219" i="2"/>
  <c r="AU218" i="2"/>
  <c r="AU217" i="2"/>
  <c r="AU216" i="2"/>
  <c r="AU215" i="2"/>
  <c r="AU214" i="2"/>
  <c r="AU213" i="2"/>
  <c r="AU212" i="2"/>
  <c r="AU211" i="2"/>
  <c r="AU210" i="2"/>
  <c r="AU209" i="2"/>
  <c r="AU208" i="2"/>
  <c r="AU207" i="2"/>
  <c r="AU206" i="2"/>
  <c r="AU205" i="2"/>
  <c r="AU204" i="2"/>
  <c r="AU203" i="2"/>
  <c r="AU202" i="2"/>
  <c r="AU201" i="2"/>
  <c r="AU200" i="2"/>
  <c r="AU199" i="2"/>
  <c r="AU198" i="2"/>
  <c r="AU197" i="2"/>
  <c r="AU196" i="2"/>
  <c r="AU195" i="2"/>
  <c r="AU194" i="2"/>
  <c r="AU193" i="2"/>
  <c r="AU192" i="2"/>
  <c r="AU191" i="2"/>
  <c r="AU190" i="2"/>
  <c r="AU189" i="2"/>
  <c r="AU188" i="2"/>
  <c r="AU187" i="2"/>
  <c r="AU186" i="2"/>
  <c r="AU185" i="2"/>
  <c r="AU184" i="2"/>
  <c r="AU183" i="2"/>
  <c r="AU182" i="2"/>
  <c r="AU181" i="2"/>
  <c r="AU180" i="2"/>
  <c r="AU179" i="2"/>
  <c r="AU178" i="2"/>
  <c r="AU177" i="2"/>
  <c r="AU176" i="2"/>
  <c r="AU175" i="2"/>
  <c r="AU174" i="2"/>
  <c r="AU173" i="2"/>
  <c r="AU172" i="2"/>
  <c r="AU171" i="2"/>
  <c r="AU170" i="2"/>
  <c r="AU169" i="2"/>
  <c r="AU168" i="2"/>
  <c r="AU167" i="2"/>
  <c r="AU166" i="2"/>
  <c r="AU165" i="2"/>
  <c r="AU164" i="2"/>
  <c r="AU163" i="2"/>
  <c r="AU162" i="2"/>
  <c r="AU161" i="2"/>
  <c r="AU160" i="2"/>
  <c r="AU159" i="2"/>
  <c r="AU158" i="2"/>
  <c r="AU157" i="2"/>
  <c r="AU156" i="2"/>
  <c r="AU155" i="2"/>
  <c r="AU154" i="2"/>
  <c r="AU153" i="2"/>
  <c r="AU152" i="2"/>
  <c r="AU151" i="2"/>
  <c r="AU150" i="2"/>
  <c r="AU149" i="2"/>
  <c r="AU148" i="2"/>
  <c r="AU147" i="2"/>
  <c r="AU146" i="2"/>
  <c r="AU145" i="2"/>
  <c r="AU144" i="2"/>
  <c r="AU143" i="2"/>
  <c r="AU142" i="2"/>
  <c r="AU141" i="2"/>
  <c r="AU140" i="2"/>
  <c r="AU139" i="2"/>
  <c r="AU138" i="2"/>
  <c r="AU137" i="2"/>
  <c r="AU136" i="2"/>
  <c r="AU135" i="2"/>
  <c r="AU134" i="2"/>
  <c r="AU133" i="2"/>
  <c r="AU132" i="2"/>
  <c r="AU131" i="2"/>
  <c r="AU130" i="2"/>
  <c r="AU129" i="2"/>
  <c r="AU128" i="2"/>
  <c r="AU127" i="2"/>
  <c r="AU126" i="2"/>
  <c r="AU125" i="2"/>
  <c r="AU124" i="2"/>
  <c r="AU123" i="2"/>
  <c r="AU122" i="2"/>
  <c r="AU121" i="2"/>
  <c r="AU120" i="2"/>
  <c r="AU119" i="2"/>
  <c r="AU118" i="2"/>
  <c r="AU117" i="2"/>
  <c r="AU116" i="2"/>
  <c r="AU115" i="2"/>
  <c r="AU114" i="2"/>
  <c r="AU113" i="2"/>
  <c r="AU112" i="2"/>
  <c r="AU111" i="2"/>
  <c r="AU110" i="2"/>
  <c r="AU109" i="2"/>
  <c r="AU108" i="2"/>
  <c r="AU107" i="2"/>
  <c r="AU106" i="2"/>
  <c r="AU105" i="2"/>
  <c r="AU104" i="2"/>
  <c r="AU103" i="2"/>
  <c r="AU102" i="2"/>
  <c r="AU101" i="2"/>
  <c r="AU100" i="2"/>
  <c r="AU99" i="2"/>
  <c r="AU98" i="2"/>
  <c r="AU97" i="2"/>
  <c r="AU96" i="2"/>
  <c r="AU95" i="2"/>
  <c r="AU94" i="2"/>
  <c r="AU93" i="2"/>
  <c r="AU92" i="2"/>
  <c r="AU91" i="2"/>
  <c r="AU90" i="2"/>
  <c r="AU89" i="2"/>
  <c r="AU88" i="2"/>
  <c r="AU87" i="2"/>
  <c r="AU86" i="2"/>
  <c r="AU85" i="2"/>
  <c r="AU84" i="2"/>
  <c r="AU83" i="2"/>
  <c r="AU82" i="2"/>
  <c r="AU81" i="2"/>
  <c r="AU80" i="2"/>
  <c r="AU79" i="2"/>
  <c r="AU78" i="2"/>
  <c r="AU77" i="2"/>
  <c r="AU76" i="2"/>
  <c r="AU75" i="2"/>
  <c r="AU74" i="2"/>
  <c r="AU73" i="2"/>
  <c r="AU72" i="2"/>
  <c r="AU71" i="2"/>
  <c r="AU70" i="2"/>
  <c r="AU69" i="2"/>
  <c r="AU68" i="2"/>
  <c r="AU67" i="2"/>
  <c r="AU66" i="2"/>
  <c r="AU65" i="2"/>
  <c r="AU64" i="2"/>
  <c r="AU63" i="2"/>
  <c r="AU62" i="2"/>
  <c r="AU61" i="2"/>
  <c r="AU60" i="2"/>
  <c r="AU59" i="2"/>
  <c r="AU58" i="2"/>
  <c r="AU57" i="2"/>
  <c r="AU56" i="2"/>
  <c r="AU55" i="2"/>
  <c r="AU54" i="2"/>
  <c r="AU53" i="2"/>
  <c r="AU52" i="2"/>
  <c r="AU51" i="2"/>
  <c r="AU50" i="2"/>
  <c r="AU49" i="2"/>
  <c r="AU48" i="2"/>
  <c r="AU47" i="2"/>
  <c r="AU46" i="2"/>
  <c r="AU45" i="2"/>
  <c r="AU44" i="2"/>
  <c r="AU43" i="2"/>
  <c r="AU42" i="2"/>
  <c r="AU41" i="2"/>
  <c r="AU40" i="2"/>
  <c r="AU39" i="2"/>
  <c r="AU38" i="2"/>
  <c r="AU37" i="2"/>
  <c r="AU36" i="2"/>
  <c r="AU35" i="2"/>
  <c r="AU34" i="2"/>
  <c r="AU33" i="2"/>
  <c r="AU32" i="2"/>
  <c r="AU31" i="2"/>
  <c r="AU30" i="2"/>
  <c r="AU29" i="2"/>
  <c r="AU28" i="2"/>
  <c r="AU27" i="2"/>
  <c r="AU26" i="2"/>
  <c r="AU25" i="2"/>
  <c r="AU24" i="2"/>
  <c r="AU23" i="2"/>
  <c r="AU22" i="2"/>
  <c r="AU21" i="2"/>
  <c r="AU20" i="2"/>
  <c r="AU19" i="2"/>
  <c r="AU18" i="2"/>
  <c r="AU17" i="2"/>
  <c r="AU16" i="2"/>
  <c r="AU15" i="2"/>
  <c r="AU14" i="2"/>
  <c r="AU13" i="2"/>
  <c r="AU12" i="2"/>
  <c r="AU11" i="2"/>
  <c r="AU10" i="2"/>
  <c r="AU9" i="2"/>
  <c r="AT9" i="2"/>
</calcChain>
</file>

<file path=xl/sharedStrings.xml><?xml version="1.0" encoding="utf-8"?>
<sst xmlns="http://schemas.openxmlformats.org/spreadsheetml/2006/main" count="1305" uniqueCount="541">
  <si>
    <t>Albania</t>
  </si>
  <si>
    <t>American Samoa</t>
  </si>
  <si>
    <t>Angola</t>
  </si>
  <si>
    <t>Antigua and Barbuda</t>
  </si>
  <si>
    <t>Armenia</t>
  </si>
  <si>
    <t>Australia</t>
  </si>
  <si>
    <t>Azerbaijan</t>
  </si>
  <si>
    <t>Bahrain</t>
  </si>
  <si>
    <t>Barbados</t>
  </si>
  <si>
    <t>Belgium</t>
  </si>
  <si>
    <t>Benin</t>
  </si>
  <si>
    <t>Bermuda</t>
  </si>
  <si>
    <t>Bhutan</t>
  </si>
  <si>
    <t>Bolivia (Plurinational State of)</t>
  </si>
  <si>
    <t>Botswana</t>
  </si>
  <si>
    <t>Brazil</t>
  </si>
  <si>
    <t>British Virgin Islands</t>
  </si>
  <si>
    <t>Brunei Darussalam</t>
  </si>
  <si>
    <t>Bulgaria</t>
  </si>
  <si>
    <t>Burkina Faso</t>
  </si>
  <si>
    <t>Burundi</t>
  </si>
  <si>
    <t>Cabo Verde</t>
  </si>
  <si>
    <t>Cambodia</t>
  </si>
  <si>
    <t>Cameroon</t>
  </si>
  <si>
    <t>Canada</t>
  </si>
  <si>
    <t>Caribbean Netherlands</t>
  </si>
  <si>
    <t>Cayman Islands</t>
  </si>
  <si>
    <t>Central African Republic</t>
  </si>
  <si>
    <t>Chad</t>
  </si>
  <si>
    <t>Channel Islands</t>
  </si>
  <si>
    <t>Chile</t>
  </si>
  <si>
    <t>China</t>
  </si>
  <si>
    <t>China, Hong Kong Special Administrative Region</t>
  </si>
  <si>
    <t>China, Macao Special Administrative Region</t>
  </si>
  <si>
    <t>Colombia</t>
  </si>
  <si>
    <t>Comoros</t>
  </si>
  <si>
    <t>Congo</t>
  </si>
  <si>
    <t>Cook Islands</t>
  </si>
  <si>
    <t>Costa Rica</t>
  </si>
  <si>
    <t>Côte d'Ivoire</t>
  </si>
  <si>
    <t>Croatia</t>
  </si>
  <si>
    <t>Cuba</t>
  </si>
  <si>
    <t>Curaçao</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</si>
  <si>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</si>
  <si>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</si>
  <si>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</si>
  <si>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</si>
  <si>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</si>
  <si>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</si>
  <si>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</si>
  <si>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</si>
  <si>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</si>
  <si>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</si>
  <si>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</si>
  <si>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</si>
  <si>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</si>
  <si>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</si>
  <si>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</si>
  <si>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</si>
  <si>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</si>
  <si>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</si>
  <si>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</si>
  <si>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</si>
  <si>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</si>
  <si>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</si>
  <si>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</si>
  <si>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</si>
  <si>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</si>
  <si>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</si>
  <si>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</si>
  <si>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</si>
  <si>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</si>
  <si>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</si>
  <si>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</si>
  <si>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</si>
  <si>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</si>
  <si>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</si>
  <si>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</si>
  <si>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</si>
  <si>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</si>
  <si>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</si>
  <si>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Holy See</t>
  </si>
  <si>
    <t>Honduras</t>
  </si>
  <si>
    <t>Hungary</t>
  </si>
  <si>
    <t>Iceland</t>
  </si>
  <si>
    <t>India</t>
  </si>
  <si>
    <t>Indonesia</t>
  </si>
  <si>
    <t>Iran (Islamic Republic of)</t>
  </si>
  <si>
    <t>Iraq</t>
  </si>
  <si>
    <t>Ireland</t>
  </si>
  <si>
    <t>Isle of Man</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</si>
  <si>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</si>
  <si>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</si>
  <si>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</si>
  <si>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</si>
  <si>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</si>
  <si>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</si>
  <si>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</si>
  <si>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</si>
  <si>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</si>
  <si>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</si>
  <si>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</si>
  <si>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</si>
  <si>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</si>
  <si>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</si>
  <si>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</si>
  <si>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</si>
  <si>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</si>
  <si>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</si>
  <si>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</si>
  <si>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Madagascar</t>
  </si>
  <si>
    <t>Malawi</t>
  </si>
  <si>
    <t>Malaysia</t>
  </si>
  <si>
    <t>Maldives</t>
  </si>
  <si>
    <t>Mali</t>
  </si>
  <si>
    <t>Malta</t>
  </si>
  <si>
    <t>Marshall Islands</t>
  </si>
  <si>
    <t>Martinique</t>
  </si>
  <si>
    <t>Mauritania</t>
  </si>
  <si>
    <t>Mauritius</t>
  </si>
  <si>
    <t>Mayotte</t>
  </si>
  <si>
    <t>Mexico</t>
  </si>
  <si>
    <t>Micronesia (Federated States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</si>
  <si>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</si>
  <si>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</si>
  <si>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</si>
  <si>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</si>
  <si>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</si>
  <si>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</si>
  <si>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</si>
  <si>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</si>
  <si>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</si>
  <si>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</si>
  <si>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</si>
  <si>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</si>
  <si>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</si>
  <si>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</si>
  <si>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</si>
  <si>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</si>
  <si>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</si>
  <si>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Northern Mariana Islands</t>
  </si>
  <si>
    <t>Norway</t>
  </si>
  <si>
    <t>Oman</t>
  </si>
  <si>
    <t>Pakistan</t>
  </si>
  <si>
    <t>Palau</t>
  </si>
  <si>
    <t>Panama</t>
  </si>
  <si>
    <t>Papua New Guinea</t>
  </si>
  <si>
    <t>Paraguay</t>
  </si>
  <si>
    <t>Peru</t>
  </si>
  <si>
    <t>Philippines</t>
  </si>
  <si>
    <t>Poland</t>
  </si>
  <si>
    <t>Portugal</t>
  </si>
  <si>
    <t>Puerto Rico</t>
  </si>
  <si>
    <t>Qatar</t>
  </si>
  <si>
    <t>Republic of Korea</t>
  </si>
  <si>
    <t>Republic of Moldova</t>
  </si>
  <si>
    <t>Réunion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</si>
  <si>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</si>
  <si>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</si>
  <si>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</si>
  <si>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</si>
  <si>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</si>
  <si>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</si>
  <si>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</si>
  <si>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</si>
  <si>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</si>
  <si>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</si>
  <si>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</si>
  <si>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</si>
  <si>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</si>
  <si>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</si>
  <si>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</si>
  <si>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</si>
  <si>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</si>
  <si>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</si>
  <si>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</si>
  <si>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</si>
  <si>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</si>
  <si>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</si>
  <si>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</si>
  <si>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</si>
  <si>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</si>
  <si>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</si>
  <si>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</si>
  <si>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</si>
  <si>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</si>
  <si>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</si>
  <si>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</si>
  <si>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</si>
  <si>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</si>
  <si>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</si>
  <si>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</si>
  <si>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</si>
  <si>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</si>
  <si>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</si>
  <si>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</si>
  <si>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</si>
  <si>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</si>
  <si>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</si>
  <si>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</si>
  <si>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</si>
  <si>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</si>
  <si>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</si>
  <si>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</si>
  <si>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</si>
  <si>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</si>
  <si>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Republic of Tanzania</t>
  </si>
  <si>
    <t>United States Virgin Islands</t>
  </si>
  <si>
    <t>United States of America</t>
  </si>
  <si>
    <t>Uruguay</t>
  </si>
  <si>
    <t>Uzbekistan</t>
  </si>
  <si>
    <t>Vanuatu</t>
  </si>
  <si>
    <t>Venezuela (Bolivarian Republic of)</t>
  </si>
  <si>
    <t>Viet Nam</t>
  </si>
  <si>
    <t>Wallis and Futuna Islands</t>
  </si>
  <si>
    <t>West Bank and Gaza Strip</t>
  </si>
  <si>
    <t>Western Sahara</t>
  </si>
  <si>
    <t>Yemen</t>
  </si>
  <si>
    <t>Zambia</t>
  </si>
  <si>
    <t>Zimbabwe</t>
  </si>
  <si>
    <t>Australia and New Zealand</t>
  </si>
  <si>
    <t>Central Asia and Southern Asia</t>
  </si>
  <si>
    <t>Eastern Asia and South-eastern Asia</t>
  </si>
  <si>
    <t>Latin America and the Caribbean</t>
  </si>
  <si>
    <t>Northern America and Europe</t>
  </si>
  <si>
    <t>Oceania excluding Australia and New Zealand</t>
  </si>
  <si>
    <t>Sub-Saharan Africa</t>
  </si>
  <si>
    <t>Western Asia and Northern Africa</t>
  </si>
  <si>
    <t>Least Developed Countries</t>
  </si>
  <si>
    <t>Landlocked developing countries</t>
  </si>
  <si>
    <t>Small island developing States</t>
  </si>
  <si>
    <t>World</t>
  </si>
  <si>
    <t>Sanitation</t>
  </si>
  <si>
    <t>Last update: July 2017</t>
  </si>
  <si>
    <t>ISO Code</t>
  </si>
  <si>
    <t>Countries and areas</t>
  </si>
  <si>
    <t>Year</t>
  </si>
  <si>
    <t xml:space="preserve">         NATIONAL</t>
  </si>
  <si>
    <t xml:space="preserve">            RURAL</t>
  </si>
  <si>
    <t xml:space="preserve">         URBAN</t>
  </si>
  <si>
    <t>NATIONAL</t>
  </si>
  <si>
    <t>RURAL</t>
  </si>
  <si>
    <t>URBAN</t>
  </si>
  <si>
    <t>Proportion of population using improved 
sanitation facilities (excluding shared)</t>
  </si>
  <si>
    <t>At least basic</t>
  </si>
  <si>
    <t>Limited (shared)</t>
  </si>
  <si>
    <t>Unimproved</t>
  </si>
  <si>
    <t>Open defecation</t>
  </si>
  <si>
    <t>Annual rate of change in basic</t>
  </si>
  <si>
    <t>Annual rate of change in open defecation</t>
  </si>
  <si>
    <t>Safely managed</t>
  </si>
  <si>
    <t>Disposed in situ</t>
  </si>
  <si>
    <t>Emptied and treated</t>
  </si>
  <si>
    <t>Wastewater treated</t>
  </si>
  <si>
    <t>Latrines and other</t>
  </si>
  <si>
    <t>Septic tanks</t>
  </si>
  <si>
    <t>Sewer connections</t>
  </si>
  <si>
    <t>AFG</t>
  </si>
  <si>
    <t>Afghanistan</t>
  </si>
  <si>
    <t>ALB</t>
  </si>
  <si>
    <t>DZA</t>
  </si>
  <si>
    <t>Algeria</t>
  </si>
  <si>
    <t>ASM</t>
  </si>
  <si>
    <t>AND</t>
  </si>
  <si>
    <t>Andorra</t>
  </si>
  <si>
    <t>AGO</t>
  </si>
  <si>
    <t>AIA</t>
  </si>
  <si>
    <t>Anguilla</t>
  </si>
  <si>
    <t>ATG</t>
  </si>
  <si>
    <t>ARG</t>
  </si>
  <si>
    <t>Argentina</t>
  </si>
  <si>
    <t>ARM</t>
  </si>
  <si>
    <t>ABW</t>
  </si>
  <si>
    <t>Aruba</t>
  </si>
  <si>
    <t>AUS</t>
  </si>
  <si>
    <t>AUT</t>
  </si>
  <si>
    <t>Austria</t>
  </si>
  <si>
    <t>AZE</t>
  </si>
  <si>
    <t>BHS</t>
  </si>
  <si>
    <t>Bahamas</t>
  </si>
  <si>
    <t>BHR</t>
  </si>
  <si>
    <t>BGD</t>
  </si>
  <si>
    <t>Bangladesh</t>
  </si>
  <si>
    <t>BRB</t>
  </si>
  <si>
    <t>BLR</t>
  </si>
  <si>
    <t>Belarus</t>
  </si>
  <si>
    <t>BEL</t>
  </si>
  <si>
    <t>BLZ</t>
  </si>
  <si>
    <t>Belize</t>
  </si>
  <si>
    <t>BEN</t>
  </si>
  <si>
    <t>BMU</t>
  </si>
  <si>
    <t>BTN</t>
  </si>
  <si>
    <t>BOL</t>
  </si>
  <si>
    <t>BIH</t>
  </si>
  <si>
    <t>Bosnia and Herzegovina</t>
  </si>
  <si>
    <t>BWA</t>
  </si>
  <si>
    <t>BRA</t>
  </si>
  <si>
    <t>VGB</t>
  </si>
  <si>
    <t>BRN</t>
  </si>
  <si>
    <t>BGR</t>
  </si>
  <si>
    <t>BFA</t>
  </si>
  <si>
    <t>BDI</t>
  </si>
  <si>
    <t>CPV</t>
  </si>
  <si>
    <t>KHM</t>
  </si>
  <si>
    <t>CMR</t>
  </si>
  <si>
    <t>CAN</t>
  </si>
  <si>
    <t>BES</t>
  </si>
  <si>
    <t>CYM</t>
  </si>
  <si>
    <t>CAF</t>
  </si>
  <si>
    <t>TCD</t>
  </si>
  <si>
    <t>CHI</t>
  </si>
  <si>
    <t>CHL</t>
  </si>
  <si>
    <t>CHN</t>
  </si>
  <si>
    <t>HKG</t>
  </si>
  <si>
    <t>MAC</t>
  </si>
  <si>
    <t>COL</t>
  </si>
  <si>
    <t>COM</t>
  </si>
  <si>
    <t>COG</t>
  </si>
  <si>
    <t>COK</t>
  </si>
  <si>
    <t>CRI</t>
  </si>
  <si>
    <t>CIV</t>
  </si>
  <si>
    <t>HRV</t>
  </si>
  <si>
    <t>CUB</t>
  </si>
  <si>
    <t>CUW</t>
  </si>
  <si>
    <t>CYP</t>
  </si>
  <si>
    <t>CZE</t>
  </si>
  <si>
    <t>PRK</t>
  </si>
  <si>
    <t>COD</t>
  </si>
  <si>
    <t>DNK</t>
  </si>
  <si>
    <t>DJI</t>
  </si>
  <si>
    <t>DMA</t>
  </si>
  <si>
    <t>DOM</t>
  </si>
  <si>
    <t>ECU</t>
  </si>
  <si>
    <t>EGY</t>
  </si>
  <si>
    <t>SLV</t>
  </si>
  <si>
    <t>GNQ</t>
  </si>
  <si>
    <t>ERI</t>
  </si>
  <si>
    <t>EST</t>
  </si>
  <si>
    <t>ETH</t>
  </si>
  <si>
    <t>FLK</t>
  </si>
  <si>
    <t>FRO</t>
  </si>
  <si>
    <t>FJI</t>
  </si>
  <si>
    <t>FIN</t>
  </si>
  <si>
    <t>FRA</t>
  </si>
  <si>
    <t>GUF</t>
  </si>
  <si>
    <t>PYF</t>
  </si>
  <si>
    <t>GAB</t>
  </si>
  <si>
    <t>GMB</t>
  </si>
  <si>
    <t>GEO</t>
  </si>
  <si>
    <t>DEU</t>
  </si>
  <si>
    <t>GHA</t>
  </si>
  <si>
    <t>GIB</t>
  </si>
  <si>
    <t>GRC</t>
  </si>
  <si>
    <t>GRL</t>
  </si>
  <si>
    <t>GRD</t>
  </si>
  <si>
    <t>GLP</t>
  </si>
  <si>
    <t>GUM</t>
  </si>
  <si>
    <t>GTM</t>
  </si>
  <si>
    <t>GIN</t>
  </si>
  <si>
    <t>GNB</t>
  </si>
  <si>
    <t>GUY</t>
  </si>
  <si>
    <t>HTI</t>
  </si>
  <si>
    <t>VAT</t>
  </si>
  <si>
    <t>HND</t>
  </si>
  <si>
    <t>HUN</t>
  </si>
  <si>
    <t>ISL</t>
  </si>
  <si>
    <t>IND</t>
  </si>
  <si>
    <t>IDN</t>
  </si>
  <si>
    <t>IRN</t>
  </si>
  <si>
    <t>IRQ</t>
  </si>
  <si>
    <t>IRL</t>
  </si>
  <si>
    <t>IMN</t>
  </si>
  <si>
    <t>ISR</t>
  </si>
  <si>
    <t>ITA</t>
  </si>
  <si>
    <t>JAM</t>
  </si>
  <si>
    <t>JPN</t>
  </si>
  <si>
    <t>JOR</t>
  </si>
  <si>
    <t>KAZ</t>
  </si>
  <si>
    <t>KEN</t>
  </si>
  <si>
    <t>KIR</t>
  </si>
  <si>
    <t>KWT</t>
  </si>
  <si>
    <t>KGZ</t>
  </si>
  <si>
    <t>LAO</t>
  </si>
  <si>
    <t>LVA</t>
  </si>
  <si>
    <t>LBN</t>
  </si>
  <si>
    <t>LSO</t>
  </si>
  <si>
    <t>LBR</t>
  </si>
  <si>
    <t>LBY</t>
  </si>
  <si>
    <t>LIE</t>
  </si>
  <si>
    <t>LTU</t>
  </si>
  <si>
    <t>LUX</t>
  </si>
  <si>
    <t>MDG</t>
  </si>
  <si>
    <t>MWI</t>
  </si>
  <si>
    <t>MYS</t>
  </si>
  <si>
    <t>MDV</t>
  </si>
  <si>
    <t>MLI</t>
  </si>
  <si>
    <t>MLT</t>
  </si>
  <si>
    <t>MHL</t>
  </si>
  <si>
    <t>MTQ</t>
  </si>
  <si>
    <t>MRT</t>
  </si>
  <si>
    <t>MUS</t>
  </si>
  <si>
    <t>MYT</t>
  </si>
  <si>
    <t>MEX</t>
  </si>
  <si>
    <t>FSM</t>
  </si>
  <si>
    <t>MCO</t>
  </si>
  <si>
    <t>MNG</t>
  </si>
  <si>
    <t>MNE</t>
  </si>
  <si>
    <t>MSR</t>
  </si>
  <si>
    <t>MAR</t>
  </si>
  <si>
    <t>MOZ</t>
  </si>
  <si>
    <t>MMR</t>
  </si>
  <si>
    <t>NAM</t>
  </si>
  <si>
    <t>NRU</t>
  </si>
  <si>
    <t>NPL</t>
  </si>
  <si>
    <t>NLD</t>
  </si>
  <si>
    <t>NCL</t>
  </si>
  <si>
    <t>NZL</t>
  </si>
  <si>
    <t>NIC</t>
  </si>
  <si>
    <t>NER</t>
  </si>
  <si>
    <t>NGA</t>
  </si>
  <si>
    <t>NIU</t>
  </si>
  <si>
    <t>MNP</t>
  </si>
  <si>
    <t>NOR</t>
  </si>
  <si>
    <t>OMN</t>
  </si>
  <si>
    <t>PAK</t>
  </si>
  <si>
    <t>PLW</t>
  </si>
  <si>
    <t>PAN</t>
  </si>
  <si>
    <t>PNG</t>
  </si>
  <si>
    <t>PRY</t>
  </si>
  <si>
    <t>PER</t>
  </si>
  <si>
    <t>PHL</t>
  </si>
  <si>
    <t>POL</t>
  </si>
  <si>
    <t>PRT</t>
  </si>
  <si>
    <t>PRI</t>
  </si>
  <si>
    <t>QAT</t>
  </si>
  <si>
    <t>KOR</t>
  </si>
  <si>
    <t>MDA</t>
  </si>
  <si>
    <t>REU</t>
  </si>
  <si>
    <t>ROU</t>
  </si>
  <si>
    <t>RUS</t>
  </si>
  <si>
    <t>RWA</t>
  </si>
  <si>
    <t>SHN</t>
  </si>
  <si>
    <t>KNA</t>
  </si>
  <si>
    <t>LCA</t>
  </si>
  <si>
    <t>SPM</t>
  </si>
  <si>
    <t>VCT</t>
  </si>
  <si>
    <t>WSM</t>
  </si>
  <si>
    <t>SMR</t>
  </si>
  <si>
    <t>STP</t>
  </si>
  <si>
    <t>SAU</t>
  </si>
  <si>
    <t>SEN</t>
  </si>
  <si>
    <t>SRB</t>
  </si>
  <si>
    <t>SYC</t>
  </si>
  <si>
    <t>SLE</t>
  </si>
  <si>
    <t>SGP</t>
  </si>
  <si>
    <t>SXM</t>
  </si>
  <si>
    <t>SVK</t>
  </si>
  <si>
    <t>SVN</t>
  </si>
  <si>
    <t>SLB</t>
  </si>
  <si>
    <t>SOM</t>
  </si>
  <si>
    <t>ZAF</t>
  </si>
  <si>
    <t>SSD</t>
  </si>
  <si>
    <t>ESP</t>
  </si>
  <si>
    <t>LKA</t>
  </si>
  <si>
    <t>SDN</t>
  </si>
  <si>
    <t>SUR</t>
  </si>
  <si>
    <t>SWZ</t>
  </si>
  <si>
    <t>SWE</t>
  </si>
  <si>
    <t>CHE</t>
  </si>
  <si>
    <t>SYR</t>
  </si>
  <si>
    <t>TJK</t>
  </si>
  <si>
    <t>THA</t>
  </si>
  <si>
    <t>MKD</t>
  </si>
  <si>
    <t>TLS</t>
  </si>
  <si>
    <t>TGO</t>
  </si>
  <si>
    <t>TKL</t>
  </si>
  <si>
    <t>TON</t>
  </si>
  <si>
    <t>TTO</t>
  </si>
  <si>
    <t>TUN</t>
  </si>
  <si>
    <t>TUR</t>
  </si>
  <si>
    <t>TKM</t>
  </si>
  <si>
    <t>TCA</t>
  </si>
  <si>
    <t>TUV</t>
  </si>
  <si>
    <t>UGA</t>
  </si>
  <si>
    <t>UKR</t>
  </si>
  <si>
    <t>ARE</t>
  </si>
  <si>
    <t>GBR</t>
  </si>
  <si>
    <t>TZA</t>
  </si>
  <si>
    <t>VIR</t>
  </si>
  <si>
    <t>USA</t>
  </si>
  <si>
    <t>URY</t>
  </si>
  <si>
    <t>UZB</t>
  </si>
  <si>
    <t>VUT</t>
  </si>
  <si>
    <t>VEN</t>
  </si>
  <si>
    <t>VNM</t>
  </si>
  <si>
    <t>WLF</t>
  </si>
  <si>
    <t>PSE</t>
  </si>
  <si>
    <t>ESH</t>
  </si>
  <si>
    <t>YEM</t>
  </si>
  <si>
    <t>ZMB</t>
  </si>
  <si>
    <t>ZWE</t>
  </si>
  <si>
    <t>Notes:</t>
  </si>
  <si>
    <t xml:space="preserve">NA: data not applicable. </t>
  </si>
  <si>
    <t>– Data not available at the time of publication.</t>
  </si>
  <si>
    <t>For communication purposes in its report, the JMP displays these proportions as rounded integers, which together add to 100% for drinking water and sanitation, respectively. For its database on the JMP website (www.wssinfo.org), the JMP uses unrounded estimates to achieve greater accuracy when converting coverage estimates into numbers of people with or without access. Any discrepancies between the published estimates and those derived from the JMP web site are due to the published estimates appearing rounded to the nearest integer.</t>
  </si>
  <si>
    <t xml:space="preserve">Simple linear regression is used to estimate the proportion of the population using the following drinking water sources (piped water on premises, improved drinking water sources and surface water) and sanitation facilities (improved types of sanitation facilities, open defecation) and the remaining population uses unimproved drinking water sources and unimproved sanitation facilities, respectively. Further details available in JMP report. </t>
  </si>
  <si>
    <t xml:space="preserve">Suggested citation: </t>
  </si>
  <si>
    <t>WHO/UNICEF (2017) Progress on Drinking Water, Sanitation and Hygiene: 2017 Update and SDG baseline</t>
  </si>
  <si>
    <t>Prepared by the WHO/UNICEF Joint Monitoring Programme for Water Supply, Sanitation and Hygiene</t>
  </si>
  <si>
    <t xml:space="preserve">Contact us: </t>
  </si>
  <si>
    <t>data@unicef.org</t>
  </si>
  <si>
    <t>ratio for tool</t>
  </si>
  <si>
    <t>original order</t>
  </si>
  <si>
    <t>Region</t>
  </si>
  <si>
    <t>Original data</t>
  </si>
  <si>
    <t>Proxies</t>
  </si>
  <si>
    <t>Adapted values</t>
  </si>
  <si>
    <t>Country data to use</t>
  </si>
  <si>
    <t>Western Asia and Northern Africa data used for Bahrain</t>
  </si>
  <si>
    <t>Small island developing States data used for Bermuda</t>
  </si>
  <si>
    <t>Least Developed Countries data used for Botswana</t>
  </si>
  <si>
    <t>Small island developing States data used for Caribbean Netherlands</t>
  </si>
  <si>
    <t>China data used for China, Macao Special Administrative Region</t>
  </si>
  <si>
    <t>Small island developing States data used for Cook Islands</t>
  </si>
  <si>
    <t>Small island developing States data used for Faroe Islands</t>
  </si>
  <si>
    <t>Small island developing States data used for Fiji</t>
  </si>
  <si>
    <t>Northern America and Europe data used for Gibraltar</t>
  </si>
  <si>
    <t>Northern America and Europe data used for Holy See</t>
  </si>
  <si>
    <t>Oceania excluding Australia and New Zealand data used for Indonesia</t>
  </si>
  <si>
    <t>Small island developing States data used for Isle of Man</t>
  </si>
  <si>
    <t>Small island developing States data used for Micronesia (Federated States of)</t>
  </si>
  <si>
    <t>Small island developing States data used for New Caledonia</t>
  </si>
  <si>
    <t>Small island developing States data used for Saint Kitts and Nevis</t>
  </si>
  <si>
    <t>France data used for Saint Pierre and Miquelon</t>
  </si>
  <si>
    <t>Small island developing States data used for Solomon Islands</t>
  </si>
  <si>
    <t>Small island developing States data used for Tokelau</t>
  </si>
  <si>
    <t>Small island developing States data used for Tonga</t>
  </si>
  <si>
    <t>Small island developing States data used for Wallis and Futuna Islands</t>
  </si>
  <si>
    <t>Least Developed Countries data used for Western Sahara</t>
  </si>
  <si>
    <t>untreated_source_regions</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</si>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</sst>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font>
      <sz val="11"/>
      <color theme="1"/>
      <name val="Calibri"/>
      <family val="2"/>
      <scheme val="minor"/>
    </font>
    <font>
      <b/>
      <sz val="11"/>
      <color theme="3"/>
      <name val="Calibri"/>
      <family val="2"/>
      <scheme val="minor"/>
    </font>
    <font>
      <b/>
      <sz val="16"/>
      <name val="Calibri"/>
      <family val="2"/>
      <scheme val="minor"/>
    </font>
    <font>
      <b/>
      <sz val="1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4"/>
      <name val="Calibri"/>
      <family val="2"/>
      <scheme val="minor"/>
    </font>
    <font>
      <b/>
      <u/>
      <sz val="11"/>
      <color rgb="FFFF0000"/>
      <name val="Calibri"/>
      <family val="2"/>
      <scheme val="minor"/>
    </font>
    <font>
      <sz val="10"/>
      <color rgb="FFFF0000"/>
      <name val="Arial Narrow"/>
      <family val="2"/>
    </font>
    <font>
      <b/>
      <sz val="11"/>
      <color rgb="FF008E40"/>
      <name val="Arial Narrow"/>
      <family val="2"/>
    </font>
    <font>
      <b/>
      <sz val="11"/>
      <color rgb="FFFF0000"/>
      <name val="Calibri"/>
      <family val="2"/>
      <scheme val="minor"/>
    </font>
    <font>
      <sz val="10"/>
      <color rgb="FFFF0000"/>
      <name val="Calibri"/>
      <family val="2"/>
      <scheme val="minor"/>
    </font>
    <font>
      <sz val="10"/>
      <color theme="3"/>
      <name val="Arial Narrow"/>
      <family val="2"/>
    </font>
    <font>
      <sz val="10"/>
      <name val="Arial"/>
      <family val="2"/>
    </font>
    <font>
      <b/>
      <sz val="11"/>
      <color theme="1"/>
      <name val="Arial"/>
      <family val="2"/>
    </font>
    <font>
      <b/>
      <sz val="11"/>
      <name val="Arial"/>
      <family val="2"/>
    </font>
    <font>
      <b/>
      <sz val="11"/>
      <color theme="6" tint="0.79995117038483843"/>
      <name val="Arial"/>
      <family val="2"/>
    </font>
    <font>
      <sz val="11"/>
      <name val="Calibri"/>
      <family val="2"/>
      <scheme val="minor"/>
    </font>
    <font>
      <sz val="10"/>
      <color indexed="8"/>
      <name val="MS Sans Serif"/>
      <family val="2"/>
    </font>
    <font>
      <sz val="11"/>
      <color indexed="8"/>
      <name val="Calibri"/>
      <family val="2"/>
      <scheme val="minor"/>
    </font>
    <font>
      <sz val="10"/>
      <color theme="1"/>
      <name val="Calibri"/>
      <family val="2"/>
      <scheme val="minor"/>
    </font>
    <font>
      <sz val="10"/>
      <name val="Calibri"/>
      <family val="2"/>
      <scheme val="minor"/>
    </font>
    <font>
      <b/>
      <u/>
      <sz val="11"/>
      <color theme="1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rgb="FFD9D9D9"/>
        <bgColor indexed="64"/>
      </patternFill>
    </fill>
    <fill>
      <patternFill patternType="solid">
        <fgColor rgb="FFF2F2F2"/>
        <bgColor indexed="64"/>
      </patternFill>
    </fill>
    <fill>
      <patternFill patternType="solid">
        <fgColor theme="0" tint="-0.14999847407452621"/>
        <bgColor indexed="64"/>
      </patternFill>
    </fill>
    <fill>
      <patternFill patternType="solid">
        <fgColor rgb="FF81C784"/>
        <bgColor indexed="64"/>
      </patternFill>
    </fill>
    <fill>
      <patternFill patternType="solid">
        <fgColor rgb="FFFFF176"/>
        <bgColor indexed="64"/>
      </patternFill>
    </fill>
    <fill>
      <patternFill patternType="solid">
        <fgColor rgb="FFFFD54F"/>
        <bgColor indexed="64"/>
      </patternFill>
    </fill>
    <fill>
      <patternFill patternType="solid">
        <fgColor rgb="FFFFB300"/>
        <bgColor indexed="64"/>
      </patternFill>
    </fill>
    <fill>
      <patternFill patternType="solid">
        <fgColor theme="0" tint="-0.34998626667073579"/>
        <bgColor indexed="64"/>
      </patternFill>
    </fill>
    <fill>
      <patternFill patternType="solid">
        <fgColor rgb="FF388E3C"/>
        <bgColor indexed="64"/>
      </patternFill>
    </fill>
    <fill>
      <patternFill patternType="solid">
        <fgColor rgb="FF44BC58"/>
        <bgColor indexed="64"/>
      </patternFill>
    </fill>
    <fill>
      <patternFill patternType="solid">
        <fgColor rgb="FFB1DDB3"/>
        <bgColor theme="4" tint="0.79998168889431442"/>
      </patternFill>
    </fill>
    <fill>
      <patternFill patternType="solid">
        <fgColor rgb="FFFFCE61"/>
        <bgColor indexed="64"/>
      </patternFill>
    </fill>
    <fill>
      <patternFill patternType="solid">
        <fgColor theme="0"/>
        <bgColor theme="4" tint="0.79998168889431442"/>
      </patternFill>
    </fill>
    <fill>
      <patternFill patternType="solid">
        <fgColor rgb="FFB1DDB3"/>
        <bgColor indexed="64"/>
      </patternFill>
    </fill>
    <fill>
      <patternFill patternType="solid">
        <fgColor rgb="FF43AB48"/>
        <bgColor indexed="64"/>
      </patternFill>
    </fill>
  </fills>
  <borders count="23">
    <border>
      <left/>
      <right/>
      <top/>
      <bottom/>
      <diagonal/>
    </border>
    <border>
      <left style="thin">
        <color indexed="64"/>
      </left>
      <right/>
      <top/>
      <bottom/>
      <diagonal/>
    </border>
    <border>
      <left/>
      <right style="thin">
        <color theme="0"/>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auto="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style="thin">
        <color theme="0"/>
      </left>
      <right style="thin">
        <color theme="0"/>
      </right>
      <top/>
      <bottom/>
      <diagonal/>
    </border>
  </borders>
  <cellStyleXfs count="5">
    <xf numFmtId="0" fontId="0" fillId="0" borderId="0"/>
    <xf numFmtId="0" fontId="6" fillId="0" borderId="0" applyNumberFormat="0" applyFill="0" applyBorder="0" applyAlignment="0" applyProtection="0"/>
    <xf numFmtId="0" fontId="14" fillId="0" borderId="0"/>
    <xf numFmtId="0" fontId="4" fillId="0" borderId="0"/>
    <xf numFmtId="0" fontId="19" fillId="0" borderId="0"/>
  </cellStyleXfs>
  <cellXfs count="154">
    <xf numFmtId="0" fontId="0" fillId="0" borderId="0" xfId="0"/>
    <xf numFmtId="0" fontId="2" fillId="0" borderId="0" xfId="0" applyFont="1" applyFill="1"/>
    <xf numFmtId="0" fontId="1" fillId="0" borderId="0" xfId="0" applyFont="1" applyFill="1"/>
    <xf numFmtId="0" fontId="3" fillId="2" borderId="0" xfId="0" applyFont="1" applyFill="1"/>
    <xf numFmtId="0" fontId="0" fillId="0" borderId="0" xfId="0" applyAlignment="1">
      <alignment horizontal="center"/>
    </xf>
    <xf numFmtId="0" fontId="7" fillId="0" borderId="0" xfId="0" applyFont="1" applyFill="1" applyAlignment="1">
      <alignment vertical="center"/>
    </xf>
    <xf numFmtId="0" fontId="8" fillId="0" borderId="0" xfId="0" applyFont="1" applyFill="1" applyAlignment="1">
      <alignment vertical="top"/>
    </xf>
    <xf numFmtId="0" fontId="0" fillId="2" borderId="0" xfId="0" applyFill="1"/>
    <xf numFmtId="0" fontId="9" fillId="0" borderId="0" xfId="0" applyFont="1" applyFill="1" applyAlignment="1">
      <alignment vertical="top"/>
    </xf>
    <xf numFmtId="0" fontId="10" fillId="0" borderId="0" xfId="0" applyFont="1" applyFill="1" applyAlignment="1">
      <alignment horizontal="center"/>
    </xf>
    <xf numFmtId="0" fontId="10" fillId="0" borderId="0" xfId="0" applyFont="1" applyFill="1"/>
    <xf numFmtId="2" fontId="11" fillId="0" borderId="0" xfId="0" applyNumberFormat="1" applyFont="1" applyFill="1" applyBorder="1" applyAlignment="1"/>
    <xf numFmtId="0" fontId="9" fillId="0" borderId="0" xfId="0" applyFont="1" applyFill="1" applyAlignment="1">
      <alignment vertical="top" wrapText="1"/>
    </xf>
    <xf numFmtId="0" fontId="12" fillId="0" borderId="0" xfId="0" applyFont="1" applyFill="1"/>
    <xf numFmtId="0" fontId="13" fillId="0" borderId="0" xfId="0" applyFont="1" applyFill="1"/>
    <xf numFmtId="0" fontId="15" fillId="3" borderId="3" xfId="3" applyFont="1" applyFill="1" applyBorder="1" applyAlignment="1">
      <alignment horizontal="center" vertical="center"/>
    </xf>
    <xf numFmtId="0" fontId="15" fillId="3" borderId="4" xfId="3" applyFont="1" applyFill="1" applyBorder="1" applyAlignment="1">
      <alignment horizontal="center" vertical="center"/>
    </xf>
    <xf numFmtId="0" fontId="15" fillId="3" borderId="5" xfId="3" applyFont="1" applyFill="1" applyBorder="1" applyAlignment="1">
      <alignment horizontal="center" vertical="center"/>
    </xf>
    <xf numFmtId="0" fontId="15" fillId="4" borderId="3" xfId="3" applyFont="1" applyFill="1" applyBorder="1" applyAlignment="1">
      <alignment horizontal="center" vertical="center"/>
    </xf>
    <xf numFmtId="0" fontId="15" fillId="4" borderId="4" xfId="3" applyFont="1" applyFill="1" applyBorder="1" applyAlignment="1">
      <alignment horizontal="center" vertical="center"/>
    </xf>
    <xf numFmtId="0" fontId="15" fillId="4" borderId="5" xfId="3" applyFont="1" applyFill="1" applyBorder="1" applyAlignment="1">
      <alignment horizontal="center" vertical="center"/>
    </xf>
    <xf numFmtId="0" fontId="15" fillId="5" borderId="3" xfId="3" applyFont="1" applyFill="1" applyBorder="1" applyAlignment="1">
      <alignment horizontal="center" vertical="center"/>
    </xf>
    <xf numFmtId="0" fontId="15" fillId="5" borderId="4" xfId="3" applyFont="1" applyFill="1" applyBorder="1" applyAlignment="1">
      <alignment horizontal="center" vertical="center"/>
    </xf>
    <xf numFmtId="0" fontId="15" fillId="2" borderId="4" xfId="3" applyFont="1" applyFill="1" applyBorder="1" applyAlignment="1">
      <alignment vertical="center"/>
    </xf>
    <xf numFmtId="0" fontId="15" fillId="3" borderId="6" xfId="3" applyFont="1" applyFill="1" applyBorder="1" applyAlignment="1"/>
    <xf numFmtId="0" fontId="15" fillId="3" borderId="7" xfId="3" applyFont="1" applyFill="1" applyBorder="1" applyAlignment="1"/>
    <xf numFmtId="0" fontId="15" fillId="3" borderId="8" xfId="3" applyFont="1" applyFill="1" applyBorder="1" applyAlignment="1"/>
    <xf numFmtId="0" fontId="15" fillId="4" borderId="6" xfId="3" applyFont="1" applyFill="1" applyBorder="1" applyAlignment="1">
      <alignment vertical="center"/>
    </xf>
    <xf numFmtId="0" fontId="15" fillId="4" borderId="7" xfId="3" applyFont="1" applyFill="1" applyBorder="1" applyAlignment="1">
      <alignment vertical="center"/>
    </xf>
    <xf numFmtId="0" fontId="15" fillId="4" borderId="8" xfId="3" applyFont="1" applyFill="1" applyBorder="1" applyAlignment="1">
      <alignment vertical="center"/>
    </xf>
    <xf numFmtId="0" fontId="15" fillId="5" borderId="6" xfId="3" applyFont="1" applyFill="1" applyBorder="1" applyAlignment="1">
      <alignment vertical="center"/>
    </xf>
    <xf numFmtId="0" fontId="15" fillId="5" borderId="7" xfId="3" applyFont="1" applyFill="1" applyBorder="1" applyAlignment="1">
      <alignment vertical="center"/>
    </xf>
    <xf numFmtId="0" fontId="15" fillId="5" borderId="8" xfId="3" applyFont="1" applyFill="1" applyBorder="1" applyAlignment="1">
      <alignment vertical="center"/>
    </xf>
    <xf numFmtId="0" fontId="15" fillId="3" borderId="9" xfId="3" applyFont="1" applyFill="1" applyBorder="1" applyAlignment="1">
      <alignment horizontal="center" vertical="center"/>
    </xf>
    <xf numFmtId="0" fontId="15" fillId="3" borderId="10" xfId="3" applyFont="1" applyFill="1" applyBorder="1" applyAlignment="1">
      <alignment horizontal="center" vertical="center"/>
    </xf>
    <xf numFmtId="0" fontId="15" fillId="3" borderId="11" xfId="3" applyFont="1" applyFill="1" applyBorder="1" applyAlignment="1">
      <alignment horizontal="center" vertical="center"/>
    </xf>
    <xf numFmtId="0" fontId="15" fillId="4" borderId="9" xfId="3" applyFont="1" applyFill="1" applyBorder="1" applyAlignment="1">
      <alignment horizontal="center" vertical="center"/>
    </xf>
    <xf numFmtId="0" fontId="15" fillId="4" borderId="10" xfId="3" applyFont="1" applyFill="1" applyBorder="1" applyAlignment="1">
      <alignment horizontal="center" vertical="center"/>
    </xf>
    <xf numFmtId="0" fontId="15" fillId="4" borderId="11" xfId="3" applyFont="1" applyFill="1" applyBorder="1" applyAlignment="1">
      <alignment horizontal="center" vertical="center"/>
    </xf>
    <xf numFmtId="0" fontId="15" fillId="5" borderId="9" xfId="3" applyFont="1" applyFill="1" applyBorder="1" applyAlignment="1">
      <alignment horizontal="center" vertical="center"/>
    </xf>
    <xf numFmtId="0" fontId="15" fillId="5" borderId="10" xfId="3" applyFont="1" applyFill="1" applyBorder="1" applyAlignment="1">
      <alignment horizontal="center" vertical="center"/>
    </xf>
    <xf numFmtId="0" fontId="15" fillId="2" borderId="10" xfId="3" applyFont="1" applyFill="1" applyBorder="1" applyAlignment="1">
      <alignment vertical="center"/>
    </xf>
    <xf numFmtId="0" fontId="15" fillId="3" borderId="6" xfId="3" applyFont="1" applyFill="1" applyBorder="1" applyAlignment="1">
      <alignment horizontal="center" vertical="center" wrapText="1"/>
    </xf>
    <xf numFmtId="0" fontId="15" fillId="3" borderId="7" xfId="3" applyFont="1" applyFill="1" applyBorder="1" applyAlignment="1">
      <alignment horizontal="center" vertical="center" wrapText="1"/>
    </xf>
    <xf numFmtId="0" fontId="15" fillId="3" borderId="8" xfId="3" applyFont="1" applyFill="1" applyBorder="1" applyAlignment="1">
      <alignment horizontal="center" vertical="center" wrapText="1"/>
    </xf>
    <xf numFmtId="0" fontId="15" fillId="6" borderId="6" xfId="3" applyFont="1" applyFill="1" applyBorder="1" applyAlignment="1">
      <alignment horizontal="center" vertical="center" wrapText="1"/>
    </xf>
    <xf numFmtId="0" fontId="15" fillId="6" borderId="7" xfId="3" applyFont="1" applyFill="1" applyBorder="1" applyAlignment="1">
      <alignment horizontal="center" vertical="center" wrapText="1"/>
    </xf>
    <xf numFmtId="0" fontId="15" fillId="6" borderId="8" xfId="3" applyFont="1" applyFill="1" applyBorder="1" applyAlignment="1">
      <alignment horizontal="center" vertical="center" wrapText="1"/>
    </xf>
    <xf numFmtId="0" fontId="15" fillId="5" borderId="6" xfId="3" applyFont="1" applyFill="1" applyBorder="1" applyAlignment="1">
      <alignment horizontal="center" vertical="center" wrapText="1"/>
    </xf>
    <xf numFmtId="0" fontId="15" fillId="5" borderId="7" xfId="3" applyFont="1" applyFill="1" applyBorder="1" applyAlignment="1">
      <alignment horizontal="center" vertical="center" wrapText="1"/>
    </xf>
    <xf numFmtId="0" fontId="15" fillId="5" borderId="8" xfId="3" applyFont="1" applyFill="1" applyBorder="1" applyAlignment="1">
      <alignment horizontal="center" vertical="center" wrapText="1"/>
    </xf>
    <xf numFmtId="0" fontId="15" fillId="7" borderId="12" xfId="3" applyFont="1" applyFill="1" applyBorder="1" applyAlignment="1">
      <alignment horizontal="center" textRotation="90" wrapText="1"/>
    </xf>
    <xf numFmtId="0" fontId="15" fillId="8" borderId="12" xfId="3" applyFont="1" applyFill="1" applyBorder="1" applyAlignment="1">
      <alignment horizontal="center" textRotation="90" wrapText="1"/>
    </xf>
    <xf numFmtId="0" fontId="15" fillId="9" borderId="12" xfId="3" applyFont="1" applyFill="1" applyBorder="1" applyAlignment="1">
      <alignment horizontal="center" textRotation="90" wrapText="1"/>
    </xf>
    <xf numFmtId="0" fontId="15" fillId="10" borderId="12" xfId="3" applyFont="1" applyFill="1" applyBorder="1" applyAlignment="1">
      <alignment horizontal="center" textRotation="90" wrapText="1"/>
    </xf>
    <xf numFmtId="0" fontId="16" fillId="11" borderId="12" xfId="3" applyFont="1" applyFill="1" applyBorder="1" applyAlignment="1">
      <alignment horizontal="center" textRotation="90" wrapText="1"/>
    </xf>
    <xf numFmtId="0" fontId="16" fillId="2" borderId="12" xfId="3" applyFont="1" applyFill="1" applyBorder="1" applyAlignment="1">
      <alignment horizontal="center" textRotation="90" wrapText="1"/>
    </xf>
    <xf numFmtId="0" fontId="17" fillId="12" borderId="12" xfId="3" applyFont="1" applyFill="1" applyBorder="1" applyAlignment="1">
      <alignment horizontal="center" textRotation="90"/>
    </xf>
    <xf numFmtId="0" fontId="15" fillId="13" borderId="12" xfId="3" applyFont="1" applyFill="1" applyBorder="1" applyAlignment="1">
      <alignment horizontal="center" textRotation="90" wrapText="1"/>
    </xf>
    <xf numFmtId="164" fontId="18" fillId="14" borderId="0" xfId="0" applyNumberFormat="1" applyFont="1" applyFill="1" applyBorder="1" applyAlignment="1">
      <alignment horizontal="right"/>
    </xf>
    <xf numFmtId="164" fontId="18" fillId="0" borderId="0" xfId="0" applyNumberFormat="1" applyFont="1" applyFill="1" applyBorder="1" applyAlignment="1">
      <alignment horizontal="right"/>
    </xf>
    <xf numFmtId="164" fontId="18" fillId="15" borderId="0" xfId="0" applyNumberFormat="1" applyFont="1" applyFill="1" applyBorder="1" applyAlignment="1">
      <alignment horizontal="right"/>
    </xf>
    <xf numFmtId="2" fontId="18" fillId="16" borderId="0" xfId="0" applyNumberFormat="1" applyFont="1" applyFill="1" applyBorder="1" applyAlignment="1">
      <alignment horizontal="right"/>
    </xf>
    <xf numFmtId="2" fontId="18" fillId="0" borderId="0" xfId="0" applyNumberFormat="1" applyFont="1" applyFill="1" applyBorder="1" applyAlignment="1">
      <alignment horizontal="right"/>
    </xf>
    <xf numFmtId="164" fontId="18" fillId="17" borderId="0" xfId="0" applyNumberFormat="1" applyFont="1" applyFill="1" applyBorder="1" applyAlignment="1">
      <alignment horizontal="right"/>
    </xf>
    <xf numFmtId="164" fontId="18" fillId="16" borderId="0" xfId="0" applyNumberFormat="1" applyFont="1" applyFill="1" applyBorder="1" applyAlignment="1">
      <alignment horizontal="right"/>
    </xf>
    <xf numFmtId="164" fontId="0" fillId="0" borderId="0" xfId="0" applyNumberFormat="1" applyBorder="1" applyAlignment="1">
      <alignment horizontal="right"/>
    </xf>
    <xf numFmtId="164" fontId="0" fillId="15" borderId="0" xfId="0" applyNumberFormat="1" applyFill="1" applyBorder="1" applyAlignment="1">
      <alignment horizontal="right"/>
    </xf>
    <xf numFmtId="2" fontId="0" fillId="0" borderId="0" xfId="0" applyNumberFormat="1" applyBorder="1" applyAlignment="1">
      <alignment horizontal="right"/>
    </xf>
    <xf numFmtId="164" fontId="0" fillId="2" borderId="0" xfId="0" applyNumberFormat="1" applyFill="1" applyBorder="1" applyAlignment="1">
      <alignment horizontal="right"/>
    </xf>
    <xf numFmtId="164" fontId="0" fillId="18" borderId="0" xfId="0" applyNumberFormat="1" applyFill="1" applyBorder="1" applyAlignment="1">
      <alignment horizontal="right"/>
    </xf>
    <xf numFmtId="0" fontId="0" fillId="0" borderId="0" xfId="0" applyBorder="1" applyAlignment="1">
      <alignment horizontal="right"/>
    </xf>
    <xf numFmtId="0" fontId="18" fillId="0" borderId="1" xfId="0" applyFont="1" applyFill="1" applyBorder="1"/>
    <xf numFmtId="0" fontId="18" fillId="0" borderId="0" xfId="0" applyFont="1" applyFill="1" applyBorder="1"/>
    <xf numFmtId="164" fontId="0" fillId="17" borderId="0" xfId="0" applyNumberFormat="1" applyFill="1" applyBorder="1" applyAlignment="1">
      <alignment horizontal="right"/>
    </xf>
    <xf numFmtId="2" fontId="18" fillId="0" borderId="14" xfId="0" applyNumberFormat="1" applyFont="1" applyFill="1" applyBorder="1" applyAlignment="1">
      <alignment horizontal="right"/>
    </xf>
    <xf numFmtId="2" fontId="18" fillId="0" borderId="18" xfId="0" applyNumberFormat="1" applyFont="1" applyFill="1" applyBorder="1" applyAlignment="1">
      <alignment horizontal="right"/>
    </xf>
    <xf numFmtId="2" fontId="0" fillId="0" borderId="18" xfId="0" applyNumberFormat="1" applyBorder="1" applyAlignment="1">
      <alignment horizontal="right"/>
    </xf>
    <xf numFmtId="2" fontId="0" fillId="0" borderId="19" xfId="0" applyNumberFormat="1" applyBorder="1" applyAlignment="1">
      <alignment horizontal="right"/>
    </xf>
    <xf numFmtId="1" fontId="0" fillId="2" borderId="16" xfId="0" applyNumberFormat="1" applyFill="1" applyBorder="1" applyAlignment="1">
      <alignment horizontal="right"/>
    </xf>
    <xf numFmtId="0" fontId="4" fillId="2" borderId="20" xfId="0" applyFont="1" applyFill="1" applyBorder="1" applyAlignment="1">
      <alignment vertical="top"/>
    </xf>
    <xf numFmtId="0" fontId="18" fillId="2" borderId="0" xfId="0" applyFont="1" applyFill="1" applyBorder="1" applyAlignment="1">
      <alignment horizontal="right"/>
    </xf>
    <xf numFmtId="1" fontId="18" fillId="14" borderId="0" xfId="0" applyNumberFormat="1" applyFont="1" applyFill="1" applyBorder="1" applyAlignment="1">
      <alignment horizontal="right"/>
    </xf>
    <xf numFmtId="1" fontId="18" fillId="0" borderId="0" xfId="0" applyNumberFormat="1" applyFont="1" applyFill="1" applyBorder="1" applyAlignment="1">
      <alignment horizontal="right"/>
    </xf>
    <xf numFmtId="1" fontId="18" fillId="15" borderId="0" xfId="0" applyNumberFormat="1" applyFont="1" applyFill="1" applyBorder="1" applyAlignment="1">
      <alignment horizontal="right"/>
    </xf>
    <xf numFmtId="1" fontId="18" fillId="17" borderId="0" xfId="0" applyNumberFormat="1" applyFont="1" applyFill="1" applyBorder="1" applyAlignment="1">
      <alignment horizontal="right"/>
    </xf>
    <xf numFmtId="1" fontId="18" fillId="16" borderId="0" xfId="0" applyNumberFormat="1" applyFont="1" applyFill="1" applyBorder="1" applyAlignment="1">
      <alignment horizontal="right"/>
    </xf>
    <xf numFmtId="1" fontId="0" fillId="17" borderId="0" xfId="0" applyNumberFormat="1" applyFill="1" applyBorder="1" applyAlignment="1">
      <alignment horizontal="right"/>
    </xf>
    <xf numFmtId="1" fontId="0" fillId="0" borderId="0" xfId="0" applyNumberFormat="1" applyBorder="1" applyAlignment="1">
      <alignment horizontal="right"/>
    </xf>
    <xf numFmtId="1" fontId="0" fillId="15" borderId="0" xfId="0" applyNumberFormat="1" applyFill="1" applyBorder="1" applyAlignment="1">
      <alignment horizontal="right"/>
    </xf>
    <xf numFmtId="2" fontId="0" fillId="0" borderId="21" xfId="0" applyNumberFormat="1" applyBorder="1" applyAlignment="1">
      <alignment horizontal="right"/>
    </xf>
    <xf numFmtId="1" fontId="0" fillId="18" borderId="20" xfId="0" applyNumberFormat="1" applyFill="1" applyBorder="1" applyAlignment="1">
      <alignment horizontal="right"/>
    </xf>
    <xf numFmtId="1" fontId="0" fillId="18" borderId="0" xfId="0" applyNumberFormat="1" applyFill="1" applyBorder="1" applyAlignment="1">
      <alignment horizontal="right"/>
    </xf>
    <xf numFmtId="1" fontId="0" fillId="0" borderId="21" xfId="0" applyNumberFormat="1" applyBorder="1" applyAlignment="1">
      <alignment horizontal="right"/>
    </xf>
    <xf numFmtId="3" fontId="18" fillId="2" borderId="20" xfId="4" applyNumberFormat="1" applyFont="1" applyFill="1" applyBorder="1" applyAlignment="1">
      <alignment vertical="top"/>
    </xf>
    <xf numFmtId="3" fontId="20" fillId="2" borderId="20" xfId="4" applyNumberFormat="1" applyFont="1" applyFill="1" applyBorder="1" applyAlignment="1">
      <alignment vertical="top"/>
    </xf>
    <xf numFmtId="0" fontId="5" fillId="2" borderId="20" xfId="0" applyFont="1" applyFill="1" applyBorder="1" applyAlignment="1">
      <alignment vertical="top"/>
    </xf>
    <xf numFmtId="0" fontId="3" fillId="0" borderId="0" xfId="0" applyFont="1" applyFill="1"/>
    <xf numFmtId="0" fontId="0" fillId="0" borderId="0" xfId="0" applyAlignment="1">
      <alignment horizontal="left"/>
    </xf>
    <xf numFmtId="0" fontId="21" fillId="2" borderId="0" xfId="0" applyFont="1" applyFill="1"/>
    <xf numFmtId="0" fontId="4" fillId="2" borderId="0" xfId="0" applyFont="1" applyFill="1"/>
    <xf numFmtId="0" fontId="21" fillId="2" borderId="0" xfId="0" applyFont="1" applyFill="1" applyAlignment="1">
      <alignment horizontal="left" vertical="top" wrapText="1"/>
    </xf>
    <xf numFmtId="0" fontId="5" fillId="2" borderId="0" xfId="0" applyFont="1" applyFill="1"/>
    <xf numFmtId="0" fontId="22" fillId="2" borderId="0" xfId="0" applyFont="1" applyFill="1"/>
    <xf numFmtId="0" fontId="0" fillId="2" borderId="0" xfId="0" applyFill="1" applyAlignment="1">
      <alignment horizontal="left"/>
    </xf>
    <xf numFmtId="0" fontId="23" fillId="2" borderId="0" xfId="1" applyFont="1" applyFill="1"/>
    <xf numFmtId="0" fontId="15" fillId="7" borderId="22" xfId="3" applyFont="1" applyFill="1" applyBorder="1" applyAlignment="1">
      <alignment horizontal="center" textRotation="90" wrapText="1"/>
    </xf>
    <xf numFmtId="0" fontId="0" fillId="0" borderId="0" xfId="0" applyFill="1"/>
    <xf numFmtId="0" fontId="15" fillId="0" borderId="0" xfId="3" applyFont="1" applyFill="1" applyBorder="1" applyAlignment="1">
      <alignment vertical="center"/>
    </xf>
    <xf numFmtId="0" fontId="15" fillId="0" borderId="0" xfId="3" applyFont="1" applyFill="1" applyBorder="1" applyAlignment="1">
      <alignment horizontal="center" vertical="center" wrapText="1"/>
    </xf>
    <xf numFmtId="0" fontId="15" fillId="0" borderId="22" xfId="3" applyFont="1" applyFill="1" applyBorder="1" applyAlignment="1">
      <alignment horizontal="center" textRotation="90" wrapText="1"/>
    </xf>
    <xf numFmtId="0" fontId="0" fillId="0" borderId="0" xfId="0" applyFill="1" applyBorder="1" applyAlignment="1">
      <alignment horizontal="right"/>
    </xf>
    <xf numFmtId="1" fontId="0" fillId="0" borderId="0" xfId="0" applyNumberFormat="1" applyFill="1" applyBorder="1" applyAlignment="1">
      <alignment horizontal="right"/>
    </xf>
    <xf numFmtId="2" fontId="3" fillId="0" borderId="1" xfId="2" applyNumberFormat="1" applyFont="1" applyBorder="1" applyAlignment="1">
      <alignment horizontal="center" wrapText="1"/>
    </xf>
    <xf numFmtId="0" fontId="3" fillId="2" borderId="0" xfId="0" applyFont="1" applyFill="1" applyBorder="1" applyAlignment="1">
      <alignment horizontal="center" wrapText="1"/>
    </xf>
    <xf numFmtId="0" fontId="3" fillId="2" borderId="2" xfId="0" applyFont="1" applyFill="1" applyBorder="1" applyAlignment="1">
      <alignment horizontal="center" wrapText="1"/>
    </xf>
    <xf numFmtId="0" fontId="18" fillId="0" borderId="13" xfId="0" applyFont="1" applyFill="1" applyBorder="1"/>
    <xf numFmtId="0" fontId="18" fillId="0" borderId="20" xfId="0" applyFont="1" applyFill="1" applyBorder="1"/>
    <xf numFmtId="0" fontId="18" fillId="0" borderId="17" xfId="0" applyFont="1" applyFill="1" applyBorder="1"/>
    <xf numFmtId="0" fontId="18" fillId="0" borderId="14" xfId="0" applyFont="1" applyFill="1" applyBorder="1"/>
    <xf numFmtId="0" fontId="18" fillId="0" borderId="18" xfId="0" applyFont="1" applyFill="1" applyBorder="1"/>
    <xf numFmtId="164" fontId="18" fillId="14" borderId="14" xfId="0" applyNumberFormat="1" applyFont="1" applyFill="1" applyBorder="1" applyAlignment="1">
      <alignment horizontal="right"/>
    </xf>
    <xf numFmtId="164" fontId="18" fillId="14" borderId="18" xfId="0" applyNumberFormat="1" applyFont="1" applyFill="1" applyBorder="1" applyAlignment="1">
      <alignment horizontal="right"/>
    </xf>
    <xf numFmtId="164" fontId="18" fillId="0" borderId="14" xfId="0" applyNumberFormat="1" applyFont="1" applyFill="1" applyBorder="1" applyAlignment="1">
      <alignment horizontal="right"/>
    </xf>
    <xf numFmtId="164" fontId="18" fillId="0" borderId="18" xfId="0" applyNumberFormat="1" applyFont="1" applyFill="1" applyBorder="1" applyAlignment="1">
      <alignment horizontal="right"/>
    </xf>
    <xf numFmtId="164" fontId="18" fillId="15" borderId="14" xfId="0" applyNumberFormat="1" applyFont="1" applyFill="1" applyBorder="1" applyAlignment="1">
      <alignment horizontal="right"/>
    </xf>
    <xf numFmtId="164" fontId="18" fillId="15" borderId="18" xfId="0" applyNumberFormat="1" applyFont="1" applyFill="1" applyBorder="1" applyAlignment="1">
      <alignment horizontal="right"/>
    </xf>
    <xf numFmtId="2" fontId="18" fillId="16" borderId="14" xfId="0" applyNumberFormat="1" applyFont="1" applyFill="1" applyBorder="1" applyAlignment="1">
      <alignment horizontal="right"/>
    </xf>
    <xf numFmtId="2" fontId="18" fillId="16" borderId="18" xfId="0" applyNumberFormat="1" applyFont="1" applyFill="1" applyBorder="1" applyAlignment="1">
      <alignment horizontal="right"/>
    </xf>
    <xf numFmtId="164" fontId="18" fillId="17" borderId="14" xfId="0" applyNumberFormat="1" applyFont="1" applyFill="1" applyBorder="1" applyAlignment="1">
      <alignment horizontal="right"/>
    </xf>
    <xf numFmtId="164" fontId="18" fillId="17" borderId="18" xfId="0" applyNumberFormat="1" applyFont="1" applyFill="1" applyBorder="1" applyAlignment="1">
      <alignment horizontal="right"/>
    </xf>
    <xf numFmtId="164" fontId="18" fillId="16" borderId="14" xfId="0" applyNumberFormat="1" applyFont="1" applyFill="1" applyBorder="1" applyAlignment="1">
      <alignment horizontal="right"/>
    </xf>
    <xf numFmtId="164" fontId="18" fillId="16" borderId="18" xfId="0" applyNumberFormat="1" applyFont="1" applyFill="1" applyBorder="1" applyAlignment="1">
      <alignment horizontal="right"/>
    </xf>
    <xf numFmtId="164" fontId="0" fillId="17" borderId="14" xfId="0" applyNumberFormat="1" applyFill="1" applyBorder="1" applyAlignment="1">
      <alignment horizontal="right"/>
    </xf>
    <xf numFmtId="164" fontId="0" fillId="17" borderId="18" xfId="0" applyNumberFormat="1" applyFill="1" applyBorder="1" applyAlignment="1">
      <alignment horizontal="right"/>
    </xf>
    <xf numFmtId="164" fontId="0" fillId="0" borderId="14" xfId="0" applyNumberFormat="1" applyBorder="1" applyAlignment="1">
      <alignment horizontal="right"/>
    </xf>
    <xf numFmtId="164" fontId="0" fillId="0" borderId="18" xfId="0" applyNumberFormat="1" applyBorder="1" applyAlignment="1">
      <alignment horizontal="right"/>
    </xf>
    <xf numFmtId="164" fontId="0" fillId="15" borderId="14" xfId="0" applyNumberFormat="1" applyFill="1" applyBorder="1" applyAlignment="1">
      <alignment horizontal="right"/>
    </xf>
    <xf numFmtId="164" fontId="0" fillId="15" borderId="18" xfId="0" applyNumberFormat="1" applyFill="1" applyBorder="1" applyAlignment="1">
      <alignment horizontal="right"/>
    </xf>
    <xf numFmtId="2" fontId="0" fillId="0" borderId="14" xfId="0" applyNumberFormat="1" applyBorder="1" applyAlignment="1">
      <alignment horizontal="right"/>
    </xf>
    <xf numFmtId="2" fontId="0" fillId="0" borderId="15" xfId="0" applyNumberFormat="1" applyBorder="1" applyAlignment="1">
      <alignment horizontal="right"/>
    </xf>
    <xf numFmtId="164" fontId="0" fillId="2" borderId="16" xfId="0" applyNumberFormat="1" applyFill="1" applyBorder="1" applyAlignment="1">
      <alignment horizontal="right"/>
    </xf>
    <xf numFmtId="164" fontId="0" fillId="18" borderId="13" xfId="0" applyNumberFormat="1" applyFill="1" applyBorder="1" applyAlignment="1">
      <alignment horizontal="right"/>
    </xf>
    <xf numFmtId="164" fontId="0" fillId="18" borderId="20" xfId="0" applyNumberFormat="1" applyFill="1" applyBorder="1" applyAlignment="1">
      <alignment horizontal="right"/>
    </xf>
    <xf numFmtId="164" fontId="0" fillId="18" borderId="17" xfId="0" applyNumberFormat="1" applyFill="1" applyBorder="1" applyAlignment="1">
      <alignment horizontal="right"/>
    </xf>
    <xf numFmtId="164" fontId="0" fillId="18" borderId="14" xfId="0" applyNumberFormat="1" applyFill="1" applyBorder="1" applyAlignment="1">
      <alignment horizontal="right"/>
    </xf>
    <xf numFmtId="164" fontId="0" fillId="18" borderId="18" xfId="0" applyNumberFormat="1" applyFill="1" applyBorder="1" applyAlignment="1">
      <alignment horizontal="right"/>
    </xf>
    <xf numFmtId="0" fontId="0" fillId="0" borderId="14" xfId="0" applyBorder="1" applyAlignment="1">
      <alignment horizontal="right"/>
    </xf>
    <xf numFmtId="0" fontId="0" fillId="0" borderId="18" xfId="0" applyBorder="1" applyAlignment="1">
      <alignment horizontal="right"/>
    </xf>
    <xf numFmtId="0" fontId="0" fillId="0" borderId="15" xfId="0" applyBorder="1" applyAlignment="1">
      <alignment horizontal="right"/>
    </xf>
    <xf numFmtId="0" fontId="0" fillId="0" borderId="21" xfId="0" applyBorder="1" applyAlignment="1">
      <alignment horizontal="right"/>
    </xf>
    <xf numFmtId="0" fontId="0" fillId="0" borderId="19" xfId="0" applyBorder="1" applyAlignment="1">
      <alignment horizontal="right"/>
    </xf>
    <xf numFmtId="0" fontId="0" fillId="0" borderId="0" xfId="0" applyBorder="1"/>
    <xf numFmtId="0" fontId="5" fillId="0" borderId="0" xfId="0" applyFont="1"/>
  </cellXfs>
  <cellStyles count="5">
    <cellStyle name="Hyperlink" xfId="1" builtinId="8"/>
    <cellStyle name="Normal" xfId="0" builtinId="0"/>
    <cellStyle name="Normal 2" xfId="3"/>
    <cellStyle name="Normal_CONSTANT" xfId="4"/>
    <cellStyle name="Normal_Given EJ LATEST PFC 4 data 2 November 2005 nnl"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28937</xdr:rowOff>
    </xdr:from>
    <xdr:to>
      <xdr:col>2</xdr:col>
      <xdr:colOff>1018567</xdr:colOff>
      <xdr:row>1</xdr:row>
      <xdr:rowOff>170631</xdr:rowOff>
    </xdr:to>
    <xdr:pic>
      <xdr:nvPicPr>
        <xdr:cNvPr id="2" name="Picture 1">
          <a:extLst>
            <a:ext uri="{FF2B5EF4-FFF2-40B4-BE49-F238E27FC236}">
              <a16:creationId xmlns:a16="http://schemas.microsoft.com/office/drawing/2014/main" id="{BCF8C126-55D9-41F8-A591-149685AA2B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8937"/>
          <a:ext cx="1582447" cy="374104"/>
        </a:xfrm>
        <a:prstGeom prst="rect">
          <a:avLst/>
        </a:prstGeom>
        <a:solidFill>
          <a:sysClr val="window" lastClr="FFFFFF"/>
        </a:solidFill>
      </xdr:spPr>
    </xdr:pic>
    <xdr:clientData/>
  </xdr:twoCellAnchor>
  <xdr:twoCellAnchor>
    <xdr:from>
      <xdr:col>4</xdr:col>
      <xdr:colOff>588010</xdr:colOff>
      <xdr:row>0</xdr:row>
      <xdr:rowOff>7620</xdr:rowOff>
    </xdr:from>
    <xdr:to>
      <xdr:col>7</xdr:col>
      <xdr:colOff>128572</xdr:colOff>
      <xdr:row>2</xdr:row>
      <xdr:rowOff>109945</xdr:rowOff>
    </xdr:to>
    <xdr:grpSp>
      <xdr:nvGrpSpPr>
        <xdr:cNvPr id="3" name="Group 2">
          <a:extLst>
            <a:ext uri="{FF2B5EF4-FFF2-40B4-BE49-F238E27FC236}">
              <a16:creationId xmlns:a16="http://schemas.microsoft.com/office/drawing/2014/main" id="{9402A153-BB1F-4973-9EEC-D12541CDAB33}"/>
            </a:ext>
          </a:extLst>
        </xdr:cNvPr>
        <xdr:cNvGrpSpPr/>
      </xdr:nvGrpSpPr>
      <xdr:grpSpPr>
        <a:xfrm>
          <a:off x="6101080" y="7620"/>
          <a:ext cx="1506522" cy="567145"/>
          <a:chOff x="1619250" y="10583"/>
          <a:chExt cx="1746251" cy="550334"/>
        </a:xfrm>
      </xdr:grpSpPr>
      <xdr:sp macro="" textlink="">
        <xdr:nvSpPr>
          <xdr:cNvPr id="4" name="TextBox 3">
            <a:extLst>
              <a:ext uri="{FF2B5EF4-FFF2-40B4-BE49-F238E27FC236}">
                <a16:creationId xmlns:a16="http://schemas.microsoft.com/office/drawing/2014/main" id="{AA1D6B79-25DE-4893-A29D-1CD29D4D053E}"/>
              </a:ext>
            </a:extLst>
          </xdr:cNvPr>
          <xdr:cNvSpPr txBox="1"/>
        </xdr:nvSpPr>
        <xdr:spPr>
          <a:xfrm>
            <a:off x="1619250" y="10583"/>
            <a:ext cx="1746251" cy="5503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pic>
        <xdr:nvPicPr>
          <xdr:cNvPr id="5" name="Picture 4" descr="D:\Admin\Logo\WHO-EN-C-H.png">
            <a:extLst>
              <a:ext uri="{FF2B5EF4-FFF2-40B4-BE49-F238E27FC236}">
                <a16:creationId xmlns:a16="http://schemas.microsoft.com/office/drawing/2014/main" id="{57017CD0-A191-49F8-9532-E33AA6CD60C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3916" y="21167"/>
            <a:ext cx="1513417" cy="463431"/>
          </a:xfrm>
          <a:prstGeom prst="rect">
            <a:avLst/>
          </a:prstGeom>
          <a:noFill/>
          <a:ln>
            <a:noFill/>
          </a:ln>
        </xdr:spPr>
      </xdr:pic>
    </xdr:grpSp>
    <xdr:clientData/>
  </xdr:twoCellAnchor>
  <xdr:twoCellAnchor>
    <xdr:from>
      <xdr:col>3</xdr:col>
      <xdr:colOff>272</xdr:colOff>
      <xdr:row>0</xdr:row>
      <xdr:rowOff>51708</xdr:rowOff>
    </xdr:from>
    <xdr:to>
      <xdr:col>3</xdr:col>
      <xdr:colOff>1844</xdr:colOff>
      <xdr:row>2</xdr:row>
      <xdr:rowOff>51707</xdr:rowOff>
    </xdr:to>
    <xdr:grpSp>
      <xdr:nvGrpSpPr>
        <xdr:cNvPr id="7" name="Group 6">
          <a:extLst>
            <a:ext uri="{FF2B5EF4-FFF2-40B4-BE49-F238E27FC236}">
              <a16:creationId xmlns:a16="http://schemas.microsoft.com/office/drawing/2014/main" id="{01C46E73-673B-4D3D-9EF8-FACADEF3133C}"/>
            </a:ext>
          </a:extLst>
        </xdr:cNvPr>
        <xdr:cNvGrpSpPr/>
      </xdr:nvGrpSpPr>
      <xdr:grpSpPr>
        <a:xfrm>
          <a:off x="4827542" y="51708"/>
          <a:ext cx="1572" cy="464819"/>
          <a:chOff x="1619250" y="10583"/>
          <a:chExt cx="1746251" cy="550334"/>
        </a:xfrm>
      </xdr:grpSpPr>
      <xdr:sp macro="" textlink="">
        <xdr:nvSpPr>
          <xdr:cNvPr id="8" name="TextBox 7">
            <a:extLst>
              <a:ext uri="{FF2B5EF4-FFF2-40B4-BE49-F238E27FC236}">
                <a16:creationId xmlns:a16="http://schemas.microsoft.com/office/drawing/2014/main" id="{4656BA7F-7951-48C6-9344-067F5BCE9343}"/>
              </a:ext>
            </a:extLst>
          </xdr:cNvPr>
          <xdr:cNvSpPr txBox="1"/>
        </xdr:nvSpPr>
        <xdr:spPr>
          <a:xfrm>
            <a:off x="1619250" y="10583"/>
            <a:ext cx="1746251" cy="55033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pic>
        <xdr:nvPicPr>
          <xdr:cNvPr id="9" name="Picture 8" descr="D:\Admin\Logo\WHO-EN-C-H.png">
            <a:extLst>
              <a:ext uri="{FF2B5EF4-FFF2-40B4-BE49-F238E27FC236}">
                <a16:creationId xmlns:a16="http://schemas.microsoft.com/office/drawing/2014/main" id="{071C0994-15B8-498E-A385-F6CD30B4660C}"/>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3916" y="21167"/>
            <a:ext cx="1513417" cy="463431"/>
          </a:xfrm>
          <a:prstGeom prst="rect">
            <a:avLst/>
          </a:prstGeom>
          <a:noFill/>
          <a:ln>
            <a:noFill/>
          </a:ln>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ata@unice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45"/>
  <sheetViews>
    <sheetView topLeftCell="A230" workbookViewId="0">
      <pane ySplit="4896" topLeftCell="A238"/>
      <selection activeCell="B1" sqref="B1:F245"/>
      <selection pane="bottomLeft" activeCell="B249" sqref="B249"/>
    </sheetView>
  </sheetViews>
  <sheetFormatPr defaultRowHeight="14.4"/>
  <cols>
    <col min="2" max="2" width="28.3125" customWidth="1"/>
    <col min="7" max="7" width="38.41796875" bestFit="1" customWidth="1"/>
    <col min="8" max="8" width="49.83984375" bestFit="1" customWidth="1"/>
    <col min="9" max="9" width="24.734375" bestFit="1" customWidth="1"/>
    <col min="10" max="10" width="80.3125" bestFit="1" customWidth="1"/>
  </cols>
  <sheetData>
    <row r="1" spans="2:6">
      <c r="B1" s="153" t="s">
        <v>513</v>
      </c>
      <c r="C1" s="153" t="s">
        <v>514</v>
      </c>
      <c r="D1" s="153" t="s">
        <v>515</v>
      </c>
      <c r="E1" s="153" t="s">
        <v>516</v>
      </c>
      <c r="F1" s="153" t="s">
        <v>517</v>
      </c>
    </row>
    <row r="2" spans="2:6">
      <c r="B2" t="s">
        <v>258</v>
      </c>
      <c r="C2">
        <v>1</v>
      </c>
      <c r="E2">
        <f>IF(D2="", C2, VLOOKUP(D2, $B$2:$C$245, 2, FALSE))</f>
        <v>1</v>
      </c>
      <c r="F2" t="str">
        <f>IF(D2="", B2, D2&amp;" data used for "&amp;B2)</f>
        <v>Afghanistan</v>
      </c>
    </row>
    <row r="3" spans="2:6">
      <c r="B3" t="s">
        <v>0</v>
      </c>
      <c r="C3">
        <v>0.33333333333333348</v>
      </c>
      <c r="E3">
        <f t="shared" ref="E3:E66" si="0">IF(D3="", C3, VLOOKUP(D3, $B$2:$C$245, 2, FALSE))</f>
        <v>0.33333333333333348</v>
      </c>
      <c r="F3" t="str">
        <f t="shared" ref="F3:F66" si="1">IF(D3="", B3, D3&amp;" data used for "&amp;B3)</f>
        <v>Albania</v>
      </c>
    </row>
    <row r="4" spans="2:6">
      <c r="B4" t="s">
        <v>261</v>
      </c>
      <c r="C4">
        <v>0.82472808782699514</v>
      </c>
      <c r="E4">
        <f t="shared" si="0"/>
        <v>0.82472808782699514</v>
      </c>
      <c r="F4" t="str">
        <f t="shared" si="1"/>
        <v>Algeria</v>
      </c>
    </row>
    <row r="5" spans="2:6">
      <c r="B5" t="s">
        <v>1</v>
      </c>
      <c r="C5">
        <v>1</v>
      </c>
      <c r="E5">
        <f t="shared" si="0"/>
        <v>1</v>
      </c>
      <c r="F5" t="str">
        <f t="shared" si="1"/>
        <v>American Samoa</v>
      </c>
    </row>
    <row r="6" spans="2:6">
      <c r="B6" t="s">
        <v>264</v>
      </c>
      <c r="C6">
        <v>0</v>
      </c>
      <c r="E6">
        <f t="shared" si="0"/>
        <v>0</v>
      </c>
      <c r="F6" t="str">
        <f t="shared" si="1"/>
        <v>Andorra</v>
      </c>
    </row>
    <row r="7" spans="2:6">
      <c r="B7" t="s">
        <v>2</v>
      </c>
      <c r="C7">
        <v>1</v>
      </c>
      <c r="E7">
        <f t="shared" si="0"/>
        <v>1</v>
      </c>
      <c r="F7" t="str">
        <f t="shared" si="1"/>
        <v>Angola</v>
      </c>
    </row>
    <row r="8" spans="2:6">
      <c r="B8" t="s">
        <v>267</v>
      </c>
      <c r="C8">
        <v>1</v>
      </c>
      <c r="E8">
        <f t="shared" si="0"/>
        <v>1</v>
      </c>
      <c r="F8" t="str">
        <f t="shared" si="1"/>
        <v>Anguilla</v>
      </c>
    </row>
    <row r="9" spans="2:6">
      <c r="B9" t="s">
        <v>3</v>
      </c>
      <c r="C9">
        <v>0</v>
      </c>
      <c r="E9">
        <f t="shared" si="0"/>
        <v>0</v>
      </c>
      <c r="F9" t="str">
        <f t="shared" si="1"/>
        <v>Antigua and Barbuda</v>
      </c>
    </row>
    <row r="10" spans="2:6">
      <c r="B10" t="s">
        <v>270</v>
      </c>
      <c r="C10">
        <v>0.86758100810081029</v>
      </c>
      <c r="E10">
        <f t="shared" si="0"/>
        <v>0.86758100810081029</v>
      </c>
      <c r="F10" t="str">
        <f t="shared" si="1"/>
        <v>Argentina</v>
      </c>
    </row>
    <row r="11" spans="2:6">
      <c r="B11" t="s">
        <v>4</v>
      </c>
      <c r="C11">
        <v>1</v>
      </c>
      <c r="E11">
        <f t="shared" si="0"/>
        <v>1</v>
      </c>
      <c r="F11" t="str">
        <f t="shared" si="1"/>
        <v>Armenia</v>
      </c>
    </row>
    <row r="12" spans="2:6">
      <c r="B12" t="s">
        <v>273</v>
      </c>
      <c r="C12">
        <v>5.0000000000000051E-2</v>
      </c>
      <c r="E12">
        <f t="shared" si="0"/>
        <v>5.0000000000000051E-2</v>
      </c>
      <c r="F12" t="str">
        <f t="shared" si="1"/>
        <v>Aruba</v>
      </c>
    </row>
    <row r="13" spans="2:6">
      <c r="B13" t="s">
        <v>5</v>
      </c>
      <c r="C13">
        <v>0.22640000000000096</v>
      </c>
      <c r="E13">
        <f t="shared" si="0"/>
        <v>0.22640000000000096</v>
      </c>
      <c r="F13" t="str">
        <f t="shared" si="1"/>
        <v>Australia</v>
      </c>
    </row>
    <row r="14" spans="2:6">
      <c r="B14" t="s">
        <v>276</v>
      </c>
      <c r="C14">
        <v>0</v>
      </c>
      <c r="E14">
        <f t="shared" si="0"/>
        <v>0</v>
      </c>
      <c r="F14" t="str">
        <f t="shared" si="1"/>
        <v>Austria</v>
      </c>
    </row>
    <row r="15" spans="2:6">
      <c r="B15" t="s">
        <v>6</v>
      </c>
      <c r="C15">
        <v>4.4838235294117658E-2</v>
      </c>
      <c r="E15">
        <f t="shared" si="0"/>
        <v>4.4838235294117658E-2</v>
      </c>
      <c r="F15" t="str">
        <f t="shared" si="1"/>
        <v>Azerbaijan</v>
      </c>
    </row>
    <row r="16" spans="2:6">
      <c r="B16" t="s">
        <v>279</v>
      </c>
      <c r="C16">
        <v>0.20000000000000018</v>
      </c>
      <c r="E16">
        <f t="shared" si="0"/>
        <v>0.20000000000000018</v>
      </c>
      <c r="F16" t="str">
        <f t="shared" si="1"/>
        <v>Bahamas</v>
      </c>
    </row>
    <row r="17" spans="2:6">
      <c r="B17" t="s">
        <v>7</v>
      </c>
      <c r="C17" t="e">
        <v>#DIV/0!</v>
      </c>
      <c r="D17" t="s">
        <v>227</v>
      </c>
      <c r="E17">
        <f t="shared" si="0"/>
        <v>0.41328147989965758</v>
      </c>
      <c r="F17" t="str">
        <f t="shared" si="1"/>
        <v>Western Asia and Northern Africa data used for Bahrain</v>
      </c>
    </row>
    <row r="18" spans="2:6">
      <c r="B18" t="s">
        <v>282</v>
      </c>
      <c r="C18">
        <v>1</v>
      </c>
      <c r="E18">
        <f t="shared" si="0"/>
        <v>1</v>
      </c>
      <c r="F18" t="str">
        <f t="shared" si="1"/>
        <v>Bangladesh</v>
      </c>
    </row>
    <row r="19" spans="2:6">
      <c r="B19" t="s">
        <v>8</v>
      </c>
      <c r="C19">
        <v>0</v>
      </c>
      <c r="E19">
        <f t="shared" si="0"/>
        <v>0</v>
      </c>
      <c r="F19" t="str">
        <f t="shared" si="1"/>
        <v>Barbados</v>
      </c>
    </row>
    <row r="20" spans="2:6">
      <c r="B20" t="s">
        <v>285</v>
      </c>
      <c r="C20">
        <v>0.15612666666666886</v>
      </c>
      <c r="E20">
        <f t="shared" si="0"/>
        <v>0.15612666666666886</v>
      </c>
      <c r="F20" t="str">
        <f t="shared" si="1"/>
        <v>Belarus</v>
      </c>
    </row>
    <row r="21" spans="2:6">
      <c r="B21" t="s">
        <v>9</v>
      </c>
      <c r="C21">
        <v>0</v>
      </c>
      <c r="E21">
        <f t="shared" si="0"/>
        <v>0</v>
      </c>
      <c r="F21" t="str">
        <f t="shared" si="1"/>
        <v>Belgium</v>
      </c>
    </row>
    <row r="22" spans="2:6">
      <c r="B22" t="s">
        <v>288</v>
      </c>
      <c r="C22">
        <v>0.43299999999999983</v>
      </c>
      <c r="E22">
        <f t="shared" si="0"/>
        <v>0.43299999999999983</v>
      </c>
      <c r="F22" t="str">
        <f t="shared" si="1"/>
        <v>Belize</v>
      </c>
    </row>
    <row r="23" spans="2:6">
      <c r="B23" t="s">
        <v>10</v>
      </c>
      <c r="C23">
        <v>1</v>
      </c>
      <c r="E23">
        <f t="shared" si="0"/>
        <v>1</v>
      </c>
      <c r="F23" t="str">
        <f t="shared" si="1"/>
        <v>Benin</v>
      </c>
    </row>
    <row r="24" spans="2:6">
      <c r="B24" t="s">
        <v>11</v>
      </c>
      <c r="C24" t="e">
        <v>#DIV/0!</v>
      </c>
      <c r="D24" t="s">
        <v>230</v>
      </c>
      <c r="E24">
        <f t="shared" si="0"/>
        <v>0.49868182362020491</v>
      </c>
      <c r="F24" t="str">
        <f t="shared" si="1"/>
        <v>Small island developing States data used for Bermuda</v>
      </c>
    </row>
    <row r="25" spans="2:6">
      <c r="B25" t="s">
        <v>12</v>
      </c>
      <c r="C25">
        <v>1</v>
      </c>
      <c r="E25">
        <f t="shared" si="0"/>
        <v>1</v>
      </c>
      <c r="F25" t="str">
        <f t="shared" si="1"/>
        <v>Bhutan</v>
      </c>
    </row>
    <row r="26" spans="2:6">
      <c r="B26" t="s">
        <v>13</v>
      </c>
      <c r="C26">
        <v>0.7</v>
      </c>
      <c r="E26">
        <f t="shared" si="0"/>
        <v>0.7</v>
      </c>
      <c r="F26" t="str">
        <f t="shared" si="1"/>
        <v>Bolivia (Plurinational State of)</v>
      </c>
    </row>
    <row r="27" spans="2:6">
      <c r="B27" t="s">
        <v>294</v>
      </c>
      <c r="C27">
        <v>0.98091111111111107</v>
      </c>
      <c r="E27">
        <f t="shared" si="0"/>
        <v>0.98091111111111107</v>
      </c>
      <c r="F27" t="str">
        <f t="shared" si="1"/>
        <v>Bosnia and Herzegovina</v>
      </c>
    </row>
    <row r="28" spans="2:6">
      <c r="B28" t="s">
        <v>14</v>
      </c>
      <c r="C28" t="e">
        <v>#DIV/0!</v>
      </c>
      <c r="D28" t="s">
        <v>228</v>
      </c>
      <c r="E28">
        <f t="shared" si="0"/>
        <v>1</v>
      </c>
      <c r="F28" t="str">
        <f t="shared" si="1"/>
        <v>Least Developed Countries data used for Botswana</v>
      </c>
    </row>
    <row r="29" spans="2:6">
      <c r="B29" t="s">
        <v>15</v>
      </c>
      <c r="C29">
        <v>0.56961538461538119</v>
      </c>
      <c r="E29">
        <f t="shared" si="0"/>
        <v>0.56961538461538119</v>
      </c>
      <c r="F29" t="str">
        <f t="shared" si="1"/>
        <v>Brazil</v>
      </c>
    </row>
    <row r="30" spans="2:6">
      <c r="B30" t="s">
        <v>16</v>
      </c>
      <c r="C30">
        <v>1</v>
      </c>
      <c r="E30">
        <f t="shared" si="0"/>
        <v>1</v>
      </c>
      <c r="F30" t="str">
        <f t="shared" si="1"/>
        <v>British Virgin Islands</v>
      </c>
    </row>
    <row r="31" spans="2:6">
      <c r="B31" t="s">
        <v>17</v>
      </c>
      <c r="C31">
        <v>1</v>
      </c>
      <c r="E31">
        <f t="shared" si="0"/>
        <v>1</v>
      </c>
      <c r="F31" t="str">
        <f t="shared" si="1"/>
        <v>Brunei Darussalam</v>
      </c>
    </row>
    <row r="32" spans="2:6">
      <c r="B32" t="s">
        <v>18</v>
      </c>
      <c r="C32">
        <v>0.41135875840236624</v>
      </c>
      <c r="E32">
        <f t="shared" si="0"/>
        <v>0.41135875840236624</v>
      </c>
      <c r="F32" t="str">
        <f t="shared" si="1"/>
        <v>Bulgaria</v>
      </c>
    </row>
    <row r="33" spans="2:6">
      <c r="B33" t="s">
        <v>19</v>
      </c>
      <c r="C33">
        <v>1</v>
      </c>
      <c r="E33">
        <f t="shared" si="0"/>
        <v>1</v>
      </c>
      <c r="F33" t="str">
        <f t="shared" si="1"/>
        <v>Burkina Faso</v>
      </c>
    </row>
    <row r="34" spans="2:6">
      <c r="B34" t="s">
        <v>20</v>
      </c>
      <c r="C34">
        <v>1</v>
      </c>
      <c r="E34">
        <f t="shared" si="0"/>
        <v>1</v>
      </c>
      <c r="F34" t="str">
        <f t="shared" si="1"/>
        <v>Burundi</v>
      </c>
    </row>
    <row r="35" spans="2:6">
      <c r="B35" t="s">
        <v>21</v>
      </c>
      <c r="C35">
        <v>1</v>
      </c>
      <c r="E35">
        <f t="shared" si="0"/>
        <v>1</v>
      </c>
      <c r="F35" t="str">
        <f t="shared" si="1"/>
        <v>Cabo Verde</v>
      </c>
    </row>
    <row r="36" spans="2:6">
      <c r="B36" t="s">
        <v>22</v>
      </c>
      <c r="C36">
        <v>1</v>
      </c>
      <c r="E36">
        <f t="shared" si="0"/>
        <v>1</v>
      </c>
      <c r="F36" t="str">
        <f t="shared" si="1"/>
        <v>Cambodia</v>
      </c>
    </row>
    <row r="37" spans="2:6">
      <c r="B37" t="s">
        <v>23</v>
      </c>
      <c r="C37">
        <v>1</v>
      </c>
      <c r="E37">
        <f t="shared" si="0"/>
        <v>1</v>
      </c>
      <c r="F37" t="str">
        <f t="shared" si="1"/>
        <v>Cameroon</v>
      </c>
    </row>
    <row r="38" spans="2:6">
      <c r="B38" t="s">
        <v>24</v>
      </c>
      <c r="C38">
        <v>0.16678613369122569</v>
      </c>
      <c r="E38">
        <f t="shared" si="0"/>
        <v>0.16678613369122569</v>
      </c>
      <c r="F38" t="str">
        <f t="shared" si="1"/>
        <v>Canada</v>
      </c>
    </row>
    <row r="39" spans="2:6">
      <c r="B39" t="s">
        <v>25</v>
      </c>
      <c r="C39" t="e">
        <v>#DIV/0!</v>
      </c>
      <c r="D39" t="s">
        <v>230</v>
      </c>
      <c r="E39">
        <f t="shared" si="0"/>
        <v>0.49868182362020491</v>
      </c>
      <c r="F39" t="str">
        <f t="shared" si="1"/>
        <v>Small island developing States data used for Caribbean Netherlands</v>
      </c>
    </row>
    <row r="40" spans="2:6">
      <c r="B40" t="s">
        <v>26</v>
      </c>
      <c r="C40">
        <v>1</v>
      </c>
      <c r="E40">
        <f t="shared" si="0"/>
        <v>1</v>
      </c>
      <c r="F40" t="str">
        <f t="shared" si="1"/>
        <v>Cayman Islands</v>
      </c>
    </row>
    <row r="41" spans="2:6">
      <c r="B41" t="s">
        <v>27</v>
      </c>
      <c r="C41">
        <v>1</v>
      </c>
      <c r="E41">
        <f t="shared" si="0"/>
        <v>1</v>
      </c>
      <c r="F41" t="str">
        <f t="shared" si="1"/>
        <v>Central African Republic</v>
      </c>
    </row>
    <row r="42" spans="2:6">
      <c r="B42" t="s">
        <v>28</v>
      </c>
      <c r="C42">
        <v>1</v>
      </c>
      <c r="E42">
        <f t="shared" si="0"/>
        <v>1</v>
      </c>
      <c r="F42" t="str">
        <f t="shared" si="1"/>
        <v>Chad</v>
      </c>
    </row>
    <row r="43" spans="2:6">
      <c r="B43" t="s">
        <v>29</v>
      </c>
      <c r="C43">
        <v>1</v>
      </c>
      <c r="E43">
        <f t="shared" si="0"/>
        <v>1</v>
      </c>
      <c r="F43" t="str">
        <f t="shared" si="1"/>
        <v>Channel Islands</v>
      </c>
    </row>
    <row r="44" spans="2:6">
      <c r="B44" t="s">
        <v>30</v>
      </c>
      <c r="C44">
        <v>0.10417968595302232</v>
      </c>
      <c r="E44">
        <f t="shared" si="0"/>
        <v>0.10417968595302232</v>
      </c>
      <c r="F44" t="str">
        <f t="shared" si="1"/>
        <v>Chile</v>
      </c>
    </row>
    <row r="45" spans="2:6">
      <c r="B45" t="s">
        <v>31</v>
      </c>
      <c r="C45">
        <v>0.11581818181817659</v>
      </c>
      <c r="E45">
        <f t="shared" si="0"/>
        <v>0.11581818181817659</v>
      </c>
      <c r="F45" t="str">
        <f t="shared" si="1"/>
        <v>China</v>
      </c>
    </row>
    <row r="46" spans="2:6">
      <c r="B46" t="s">
        <v>32</v>
      </c>
      <c r="C46">
        <v>0.84512455555555555</v>
      </c>
      <c r="E46">
        <f t="shared" si="0"/>
        <v>0.84512455555555555</v>
      </c>
      <c r="F46" t="str">
        <f t="shared" si="1"/>
        <v>China, Hong Kong Special Administrative Region</v>
      </c>
    </row>
    <row r="47" spans="2:6">
      <c r="B47" t="s">
        <v>33</v>
      </c>
      <c r="C47" t="e">
        <v>#DIV/0!</v>
      </c>
      <c r="D47" t="s">
        <v>31</v>
      </c>
      <c r="E47">
        <f t="shared" si="0"/>
        <v>0.11581818181817659</v>
      </c>
      <c r="F47" t="str">
        <f t="shared" si="1"/>
        <v>China data used for China, Macao Special Administrative Region</v>
      </c>
    </row>
    <row r="48" spans="2:6">
      <c r="B48" t="s">
        <v>34</v>
      </c>
      <c r="C48">
        <v>0.83829713543267603</v>
      </c>
      <c r="E48">
        <f t="shared" si="0"/>
        <v>0.83829713543267603</v>
      </c>
      <c r="F48" t="str">
        <f t="shared" si="1"/>
        <v>Colombia</v>
      </c>
    </row>
    <row r="49" spans="2:6">
      <c r="B49" t="s">
        <v>35</v>
      </c>
      <c r="C49">
        <v>1</v>
      </c>
      <c r="E49">
        <f t="shared" si="0"/>
        <v>1</v>
      </c>
      <c r="F49" t="str">
        <f t="shared" si="1"/>
        <v>Comoros</v>
      </c>
    </row>
    <row r="50" spans="2:6">
      <c r="B50" t="s">
        <v>36</v>
      </c>
      <c r="C50">
        <v>1</v>
      </c>
      <c r="E50">
        <f t="shared" si="0"/>
        <v>1</v>
      </c>
      <c r="F50" t="str">
        <f t="shared" si="1"/>
        <v>Congo</v>
      </c>
    </row>
    <row r="51" spans="2:6">
      <c r="B51" t="s">
        <v>37</v>
      </c>
      <c r="C51" t="e">
        <v>#DIV/0!</v>
      </c>
      <c r="D51" t="s">
        <v>230</v>
      </c>
      <c r="E51">
        <f t="shared" si="0"/>
        <v>0.49868182362020491</v>
      </c>
      <c r="F51" t="str">
        <f t="shared" si="1"/>
        <v>Small island developing States data used for Cook Islands</v>
      </c>
    </row>
    <row r="52" spans="2:6">
      <c r="B52" t="s">
        <v>38</v>
      </c>
      <c r="C52">
        <v>0.95800000000000007</v>
      </c>
      <c r="E52">
        <f t="shared" si="0"/>
        <v>0.95800000000000007</v>
      </c>
      <c r="F52" t="str">
        <f t="shared" si="1"/>
        <v>Costa Rica</v>
      </c>
    </row>
    <row r="53" spans="2:6">
      <c r="B53" t="s">
        <v>39</v>
      </c>
      <c r="C53">
        <v>1</v>
      </c>
      <c r="E53">
        <f t="shared" si="0"/>
        <v>1</v>
      </c>
      <c r="F53" t="str">
        <f t="shared" si="1"/>
        <v>Côte d'Ivoire</v>
      </c>
    </row>
    <row r="54" spans="2:6">
      <c r="B54" t="s">
        <v>40</v>
      </c>
      <c r="C54">
        <v>0.30310880829015541</v>
      </c>
      <c r="E54">
        <f t="shared" si="0"/>
        <v>0.30310880829015541</v>
      </c>
      <c r="F54" t="str">
        <f t="shared" si="1"/>
        <v>Croatia</v>
      </c>
    </row>
    <row r="55" spans="2:6">
      <c r="B55" t="s">
        <v>41</v>
      </c>
      <c r="C55">
        <v>0.81100000000000005</v>
      </c>
      <c r="E55">
        <f t="shared" si="0"/>
        <v>0.81100000000000005</v>
      </c>
      <c r="F55" t="str">
        <f t="shared" si="1"/>
        <v>Cuba</v>
      </c>
    </row>
    <row r="56" spans="2:6">
      <c r="B56" t="s">
        <v>42</v>
      </c>
      <c r="C56">
        <v>1</v>
      </c>
      <c r="E56">
        <f t="shared" si="0"/>
        <v>1</v>
      </c>
      <c r="F56" t="str">
        <f t="shared" si="1"/>
        <v>Curaçao</v>
      </c>
    </row>
    <row r="57" spans="2:6">
      <c r="B57" t="s">
        <v>43</v>
      </c>
      <c r="C57">
        <v>0</v>
      </c>
      <c r="E57">
        <f t="shared" si="0"/>
        <v>0</v>
      </c>
      <c r="F57" t="str">
        <f t="shared" si="1"/>
        <v>Cyprus</v>
      </c>
    </row>
    <row r="58" spans="2:6">
      <c r="B58" t="s">
        <v>44</v>
      </c>
      <c r="C58">
        <v>0.13302869421766103</v>
      </c>
      <c r="E58">
        <f t="shared" si="0"/>
        <v>0.13302869421766103</v>
      </c>
      <c r="F58" t="str">
        <f t="shared" si="1"/>
        <v>Czech Republic</v>
      </c>
    </row>
    <row r="59" spans="2:6">
      <c r="B59" t="s">
        <v>45</v>
      </c>
      <c r="C59">
        <v>1</v>
      </c>
      <c r="E59">
        <f t="shared" si="0"/>
        <v>1</v>
      </c>
      <c r="F59" t="str">
        <f t="shared" si="1"/>
        <v>Democratic People's Republic of Korea</v>
      </c>
    </row>
    <row r="60" spans="2:6">
      <c r="B60" t="s">
        <v>46</v>
      </c>
      <c r="C60">
        <v>1</v>
      </c>
      <c r="E60">
        <f t="shared" si="0"/>
        <v>1</v>
      </c>
      <c r="F60" t="str">
        <f t="shared" si="1"/>
        <v>Democratic Republic of the Congo</v>
      </c>
    </row>
    <row r="61" spans="2:6">
      <c r="B61" t="s">
        <v>47</v>
      </c>
      <c r="C61">
        <v>1.8110462301152153E-2</v>
      </c>
      <c r="E61">
        <f t="shared" si="0"/>
        <v>1.8110462301152153E-2</v>
      </c>
      <c r="F61" t="str">
        <f t="shared" si="1"/>
        <v>Denmark</v>
      </c>
    </row>
    <row r="62" spans="2:6">
      <c r="B62" t="s">
        <v>48</v>
      </c>
      <c r="C62">
        <v>1</v>
      </c>
      <c r="E62">
        <f t="shared" si="0"/>
        <v>1</v>
      </c>
      <c r="F62" t="str">
        <f t="shared" si="1"/>
        <v>Djibouti</v>
      </c>
    </row>
    <row r="63" spans="2:6">
      <c r="B63" t="s">
        <v>49</v>
      </c>
      <c r="C63">
        <v>1</v>
      </c>
      <c r="E63">
        <f t="shared" si="0"/>
        <v>1</v>
      </c>
      <c r="F63" t="str">
        <f t="shared" si="1"/>
        <v>Dominica</v>
      </c>
    </row>
    <row r="64" spans="2:6">
      <c r="B64" t="s">
        <v>50</v>
      </c>
      <c r="C64">
        <v>0.51299999999999968</v>
      </c>
      <c r="E64">
        <f t="shared" si="0"/>
        <v>0.51299999999999968</v>
      </c>
      <c r="F64" t="str">
        <f t="shared" si="1"/>
        <v>Dominican Republic</v>
      </c>
    </row>
    <row r="65" spans="2:6">
      <c r="B65" t="s">
        <v>51</v>
      </c>
      <c r="C65">
        <v>0.71249999999999991</v>
      </c>
      <c r="E65">
        <f t="shared" si="0"/>
        <v>0.71249999999999991</v>
      </c>
      <c r="F65" t="str">
        <f t="shared" si="1"/>
        <v>Ecuador</v>
      </c>
    </row>
    <row r="66" spans="2:6">
      <c r="B66" t="s">
        <v>52</v>
      </c>
      <c r="C66">
        <v>0.25906808889803296</v>
      </c>
      <c r="E66">
        <f t="shared" si="0"/>
        <v>0.25906808889803296</v>
      </c>
      <c r="F66" t="str">
        <f t="shared" si="1"/>
        <v>Egypt</v>
      </c>
    </row>
    <row r="67" spans="2:6">
      <c r="B67" t="s">
        <v>53</v>
      </c>
      <c r="C67">
        <v>1</v>
      </c>
      <c r="E67">
        <f t="shared" ref="E67:E130" si="2">IF(D67="", C67, VLOOKUP(D67, $B$2:$C$245, 2, FALSE))</f>
        <v>1</v>
      </c>
      <c r="F67" t="str">
        <f t="shared" ref="F67:F130" si="3">IF(D67="", B67, D67&amp;" data used for "&amp;B67)</f>
        <v>El Salvador</v>
      </c>
    </row>
    <row r="68" spans="2:6">
      <c r="B68" t="s">
        <v>54</v>
      </c>
      <c r="C68">
        <v>1</v>
      </c>
      <c r="E68">
        <f t="shared" si="2"/>
        <v>1</v>
      </c>
      <c r="F68" t="str">
        <f t="shared" si="3"/>
        <v>Equatorial Guinea</v>
      </c>
    </row>
    <row r="69" spans="2:6">
      <c r="B69" t="s">
        <v>55</v>
      </c>
      <c r="C69">
        <v>1</v>
      </c>
      <c r="E69">
        <f t="shared" si="2"/>
        <v>1</v>
      </c>
      <c r="F69" t="str">
        <f t="shared" si="3"/>
        <v>Eritrea</v>
      </c>
    </row>
    <row r="70" spans="2:6">
      <c r="B70" t="s">
        <v>56</v>
      </c>
      <c r="C70">
        <v>7.9179133705786515E-3</v>
      </c>
      <c r="E70">
        <f t="shared" si="2"/>
        <v>7.9179133705786515E-3</v>
      </c>
      <c r="F70" t="str">
        <f t="shared" si="3"/>
        <v>Estonia</v>
      </c>
    </row>
    <row r="71" spans="2:6">
      <c r="B71" t="s">
        <v>57</v>
      </c>
      <c r="C71">
        <v>1</v>
      </c>
      <c r="E71">
        <f t="shared" si="2"/>
        <v>1</v>
      </c>
      <c r="F71" t="str">
        <f t="shared" si="3"/>
        <v>Ethiopia</v>
      </c>
    </row>
    <row r="72" spans="2:6">
      <c r="B72" t="s">
        <v>58</v>
      </c>
      <c r="C72">
        <v>1</v>
      </c>
      <c r="E72">
        <f t="shared" si="2"/>
        <v>1</v>
      </c>
      <c r="F72" t="str">
        <f t="shared" si="3"/>
        <v>Falkland Islands (Malvinas)</v>
      </c>
    </row>
    <row r="73" spans="2:6">
      <c r="B73" t="s">
        <v>59</v>
      </c>
      <c r="C73" t="e">
        <v>#DIV/0!</v>
      </c>
      <c r="D73" t="s">
        <v>230</v>
      </c>
      <c r="E73">
        <f t="shared" si="2"/>
        <v>0.49868182362020491</v>
      </c>
      <c r="F73" t="str">
        <f t="shared" si="3"/>
        <v>Small island developing States data used for Faroe Islands</v>
      </c>
    </row>
    <row r="74" spans="2:6">
      <c r="B74" t="s">
        <v>60</v>
      </c>
      <c r="C74" t="e">
        <v>#DIV/0!</v>
      </c>
      <c r="D74" t="s">
        <v>230</v>
      </c>
      <c r="E74">
        <f t="shared" si="2"/>
        <v>0.49868182362020491</v>
      </c>
      <c r="F74" t="str">
        <f t="shared" si="3"/>
        <v>Small island developing States data used for Fiji</v>
      </c>
    </row>
    <row r="75" spans="2:6">
      <c r="B75" t="s">
        <v>61</v>
      </c>
      <c r="C75">
        <v>0</v>
      </c>
      <c r="E75">
        <f t="shared" si="2"/>
        <v>0</v>
      </c>
      <c r="F75" t="str">
        <f t="shared" si="3"/>
        <v>Finland</v>
      </c>
    </row>
    <row r="76" spans="2:6">
      <c r="B76" t="s">
        <v>62</v>
      </c>
      <c r="C76">
        <v>7.4906367041198286E-3</v>
      </c>
      <c r="E76">
        <f t="shared" si="2"/>
        <v>7.4906367041198286E-3</v>
      </c>
      <c r="F76" t="str">
        <f t="shared" si="3"/>
        <v>France</v>
      </c>
    </row>
    <row r="77" spans="2:6">
      <c r="B77" t="s">
        <v>63</v>
      </c>
      <c r="C77">
        <v>0.35</v>
      </c>
      <c r="E77">
        <f t="shared" si="2"/>
        <v>0.35</v>
      </c>
      <c r="F77" t="str">
        <f t="shared" si="3"/>
        <v>French Guiana</v>
      </c>
    </row>
    <row r="78" spans="2:6">
      <c r="B78" t="s">
        <v>64</v>
      </c>
      <c r="C78">
        <v>1</v>
      </c>
      <c r="E78">
        <f t="shared" si="2"/>
        <v>1</v>
      </c>
      <c r="F78" t="str">
        <f t="shared" si="3"/>
        <v>French Polynesia</v>
      </c>
    </row>
    <row r="79" spans="2:6">
      <c r="B79" t="s">
        <v>65</v>
      </c>
      <c r="C79">
        <v>1</v>
      </c>
      <c r="E79">
        <f t="shared" si="2"/>
        <v>1</v>
      </c>
      <c r="F79" t="str">
        <f t="shared" si="3"/>
        <v>Gabon</v>
      </c>
    </row>
    <row r="80" spans="2:6">
      <c r="B80" t="s">
        <v>66</v>
      </c>
      <c r="C80">
        <v>1</v>
      </c>
      <c r="E80">
        <f t="shared" si="2"/>
        <v>1</v>
      </c>
      <c r="F80" t="str">
        <f t="shared" si="3"/>
        <v>Gambia</v>
      </c>
    </row>
    <row r="81" spans="2:6">
      <c r="B81" t="s">
        <v>67</v>
      </c>
      <c r="C81">
        <v>0.89983375527426235</v>
      </c>
      <c r="E81">
        <f t="shared" si="2"/>
        <v>0.89983375527426235</v>
      </c>
      <c r="F81" t="str">
        <f t="shared" si="3"/>
        <v>Georgia</v>
      </c>
    </row>
    <row r="82" spans="2:6">
      <c r="B82" t="s">
        <v>68</v>
      </c>
      <c r="C82">
        <v>2.4014798938163717E-2</v>
      </c>
      <c r="E82">
        <f t="shared" si="2"/>
        <v>2.4014798938163717E-2</v>
      </c>
      <c r="F82" t="str">
        <f t="shared" si="3"/>
        <v>Germany</v>
      </c>
    </row>
    <row r="83" spans="2:6">
      <c r="B83" t="s">
        <v>69</v>
      </c>
      <c r="C83">
        <v>1</v>
      </c>
      <c r="E83">
        <f t="shared" si="2"/>
        <v>1</v>
      </c>
      <c r="F83" t="str">
        <f t="shared" si="3"/>
        <v>Ghana</v>
      </c>
    </row>
    <row r="84" spans="2:6">
      <c r="B84" t="s">
        <v>70</v>
      </c>
      <c r="C84" t="e">
        <v>#DIV/0!</v>
      </c>
      <c r="D84" t="s">
        <v>224</v>
      </c>
      <c r="E84">
        <f t="shared" si="2"/>
        <v>5.0917413580286244E-2</v>
      </c>
      <c r="F84" t="str">
        <f t="shared" si="3"/>
        <v>Northern America and Europe data used for Gibraltar</v>
      </c>
    </row>
    <row r="85" spans="2:6">
      <c r="B85" t="s">
        <v>71</v>
      </c>
      <c r="C85">
        <v>0</v>
      </c>
      <c r="E85">
        <f t="shared" si="2"/>
        <v>0</v>
      </c>
      <c r="F85" t="str">
        <f t="shared" si="3"/>
        <v>Greece</v>
      </c>
    </row>
    <row r="86" spans="2:6">
      <c r="B86" t="s">
        <v>72</v>
      </c>
      <c r="C86">
        <v>1.8110462301152274E-2</v>
      </c>
      <c r="E86">
        <f t="shared" si="2"/>
        <v>1.8110462301152274E-2</v>
      </c>
      <c r="F86" t="str">
        <f t="shared" si="3"/>
        <v>Greenland</v>
      </c>
    </row>
    <row r="87" spans="2:6">
      <c r="B87" t="s">
        <v>73</v>
      </c>
      <c r="C87">
        <v>1</v>
      </c>
      <c r="E87">
        <f t="shared" si="2"/>
        <v>1</v>
      </c>
      <c r="F87" t="str">
        <f t="shared" si="3"/>
        <v>Grenada</v>
      </c>
    </row>
    <row r="88" spans="2:6">
      <c r="B88" t="s">
        <v>74</v>
      </c>
      <c r="C88">
        <v>0.6</v>
      </c>
      <c r="E88">
        <f t="shared" si="2"/>
        <v>0.6</v>
      </c>
      <c r="F88" t="str">
        <f t="shared" si="3"/>
        <v>Guadeloupe</v>
      </c>
    </row>
    <row r="89" spans="2:6">
      <c r="B89" t="s">
        <v>75</v>
      </c>
      <c r="C89">
        <v>1</v>
      </c>
      <c r="E89">
        <f t="shared" si="2"/>
        <v>1</v>
      </c>
      <c r="F89" t="str">
        <f t="shared" si="3"/>
        <v>Guam</v>
      </c>
    </row>
    <row r="90" spans="2:6">
      <c r="B90" t="s">
        <v>76</v>
      </c>
      <c r="C90">
        <v>1</v>
      </c>
      <c r="E90">
        <f t="shared" si="2"/>
        <v>1</v>
      </c>
      <c r="F90" t="str">
        <f t="shared" si="3"/>
        <v>Guatemala</v>
      </c>
    </row>
    <row r="91" spans="2:6">
      <c r="B91" t="s">
        <v>77</v>
      </c>
      <c r="C91">
        <v>1</v>
      </c>
      <c r="E91">
        <f t="shared" si="2"/>
        <v>1</v>
      </c>
      <c r="F91" t="str">
        <f t="shared" si="3"/>
        <v>Guinea</v>
      </c>
    </row>
    <row r="92" spans="2:6">
      <c r="B92" t="s">
        <v>78</v>
      </c>
      <c r="C92">
        <v>1</v>
      </c>
      <c r="E92">
        <f t="shared" si="2"/>
        <v>1</v>
      </c>
      <c r="F92" t="str">
        <f t="shared" si="3"/>
        <v>Guinea-Bissau</v>
      </c>
    </row>
    <row r="93" spans="2:6">
      <c r="B93" t="s">
        <v>79</v>
      </c>
      <c r="C93">
        <v>0.5</v>
      </c>
      <c r="E93">
        <f t="shared" si="2"/>
        <v>0.5</v>
      </c>
      <c r="F93" t="str">
        <f t="shared" si="3"/>
        <v>Guyana</v>
      </c>
    </row>
    <row r="94" spans="2:6">
      <c r="B94" t="s">
        <v>80</v>
      </c>
      <c r="C94">
        <v>1</v>
      </c>
      <c r="E94">
        <f t="shared" si="2"/>
        <v>1</v>
      </c>
      <c r="F94" t="str">
        <f t="shared" si="3"/>
        <v>Haiti</v>
      </c>
    </row>
    <row r="95" spans="2:6">
      <c r="B95" t="s">
        <v>81</v>
      </c>
      <c r="C95" t="e">
        <v>#DIV/0!</v>
      </c>
      <c r="D95" t="s">
        <v>224</v>
      </c>
      <c r="E95">
        <f t="shared" si="2"/>
        <v>5.0917413580286244E-2</v>
      </c>
      <c r="F95" t="str">
        <f t="shared" si="3"/>
        <v>Northern America and Europe data used for Holy See</v>
      </c>
    </row>
    <row r="96" spans="2:6">
      <c r="B96" t="s">
        <v>82</v>
      </c>
      <c r="C96">
        <v>0.97000000000000008</v>
      </c>
      <c r="E96">
        <f t="shared" si="2"/>
        <v>0.97000000000000008</v>
      </c>
      <c r="F96" t="str">
        <f t="shared" si="3"/>
        <v>Honduras</v>
      </c>
    </row>
    <row r="97" spans="2:6">
      <c r="B97" t="s">
        <v>83</v>
      </c>
      <c r="C97">
        <v>0</v>
      </c>
      <c r="E97">
        <f t="shared" si="2"/>
        <v>0</v>
      </c>
      <c r="F97" t="str">
        <f t="shared" si="3"/>
        <v>Hungary</v>
      </c>
    </row>
    <row r="98" spans="2:6">
      <c r="B98" t="s">
        <v>84</v>
      </c>
      <c r="C98">
        <v>0.29032258064516125</v>
      </c>
      <c r="E98">
        <f t="shared" si="2"/>
        <v>0.29032258064516125</v>
      </c>
      <c r="F98" t="str">
        <f t="shared" si="3"/>
        <v>Iceland</v>
      </c>
    </row>
    <row r="99" spans="2:6">
      <c r="B99" t="s">
        <v>85</v>
      </c>
      <c r="C99">
        <v>0.62815364186935085</v>
      </c>
      <c r="E99">
        <f t="shared" si="2"/>
        <v>0.62815364186935085</v>
      </c>
      <c r="F99" t="str">
        <f t="shared" si="3"/>
        <v>India</v>
      </c>
    </row>
    <row r="100" spans="2:6">
      <c r="B100" t="s">
        <v>86</v>
      </c>
      <c r="C100" t="e">
        <v>#DIV/0!</v>
      </c>
      <c r="D100" t="s">
        <v>225</v>
      </c>
      <c r="E100">
        <f t="shared" si="2"/>
        <v>0.54684139644578833</v>
      </c>
      <c r="F100" t="str">
        <f t="shared" si="3"/>
        <v>Oceania excluding Australia and New Zealand data used for Indonesia</v>
      </c>
    </row>
    <row r="101" spans="2:6">
      <c r="B101" t="s">
        <v>87</v>
      </c>
      <c r="C101">
        <v>1</v>
      </c>
      <c r="E101">
        <f t="shared" si="2"/>
        <v>1</v>
      </c>
      <c r="F101" t="str">
        <f t="shared" si="3"/>
        <v>Iran (Islamic Republic of)</v>
      </c>
    </row>
    <row r="102" spans="2:6">
      <c r="B102" t="s">
        <v>88</v>
      </c>
      <c r="C102">
        <v>0.32800250862339309</v>
      </c>
      <c r="E102">
        <f t="shared" si="2"/>
        <v>0.32800250862339309</v>
      </c>
      <c r="F102" t="str">
        <f t="shared" si="3"/>
        <v>Iraq</v>
      </c>
    </row>
    <row r="103" spans="2:6">
      <c r="B103" t="s">
        <v>89</v>
      </c>
      <c r="C103">
        <v>0</v>
      </c>
      <c r="E103">
        <f t="shared" si="2"/>
        <v>0</v>
      </c>
      <c r="F103" t="str">
        <f t="shared" si="3"/>
        <v>Ireland</v>
      </c>
    </row>
    <row r="104" spans="2:6">
      <c r="B104" t="s">
        <v>90</v>
      </c>
      <c r="C104" t="e">
        <v>#DIV/0!</v>
      </c>
      <c r="D104" t="s">
        <v>230</v>
      </c>
      <c r="E104">
        <f t="shared" si="2"/>
        <v>0.49868182362020491</v>
      </c>
      <c r="F104" t="str">
        <f t="shared" si="3"/>
        <v>Small island developing States data used for Isle of Man</v>
      </c>
    </row>
    <row r="105" spans="2:6">
      <c r="B105" t="s">
        <v>91</v>
      </c>
      <c r="C105">
        <v>6.3469156236201307E-2</v>
      </c>
      <c r="E105">
        <f t="shared" si="2"/>
        <v>6.3469156236201307E-2</v>
      </c>
      <c r="F105" t="str">
        <f t="shared" si="3"/>
        <v>Israel</v>
      </c>
    </row>
    <row r="106" spans="2:6">
      <c r="B106" t="s">
        <v>92</v>
      </c>
      <c r="C106">
        <v>3.0026148099319194E-2</v>
      </c>
      <c r="E106">
        <f t="shared" si="2"/>
        <v>3.0026148099319194E-2</v>
      </c>
      <c r="F106" t="str">
        <f t="shared" si="3"/>
        <v>Italy</v>
      </c>
    </row>
    <row r="107" spans="2:6">
      <c r="B107" t="s">
        <v>93</v>
      </c>
      <c r="C107">
        <v>0.6</v>
      </c>
      <c r="E107">
        <f t="shared" si="2"/>
        <v>0.6</v>
      </c>
      <c r="F107" t="str">
        <f t="shared" si="3"/>
        <v>Jamaica</v>
      </c>
    </row>
    <row r="108" spans="2:6">
      <c r="B108" t="s">
        <v>94</v>
      </c>
      <c r="C108">
        <v>2.3809523809523356E-3</v>
      </c>
      <c r="E108">
        <f t="shared" si="2"/>
        <v>2.3809523809523356E-3</v>
      </c>
      <c r="F108" t="str">
        <f t="shared" si="3"/>
        <v>Japan</v>
      </c>
    </row>
    <row r="109" spans="2:6">
      <c r="B109" t="s">
        <v>95</v>
      </c>
      <c r="C109">
        <v>0</v>
      </c>
      <c r="E109">
        <f t="shared" si="2"/>
        <v>0</v>
      </c>
      <c r="F109" t="str">
        <f t="shared" si="3"/>
        <v>Jordan</v>
      </c>
    </row>
    <row r="110" spans="2:6">
      <c r="B110" t="s">
        <v>96</v>
      </c>
      <c r="C110">
        <v>0.19799999999999993</v>
      </c>
      <c r="E110">
        <f t="shared" si="2"/>
        <v>0.19799999999999993</v>
      </c>
      <c r="F110" t="str">
        <f t="shared" si="3"/>
        <v>Kazakhstan</v>
      </c>
    </row>
    <row r="111" spans="2:6">
      <c r="B111" t="s">
        <v>97</v>
      </c>
      <c r="C111">
        <v>1</v>
      </c>
      <c r="E111">
        <f t="shared" si="2"/>
        <v>1</v>
      </c>
      <c r="F111" t="str">
        <f t="shared" si="3"/>
        <v>Kenya</v>
      </c>
    </row>
    <row r="112" spans="2:6">
      <c r="B112" t="s">
        <v>98</v>
      </c>
      <c r="C112">
        <v>1</v>
      </c>
      <c r="E112">
        <f t="shared" si="2"/>
        <v>1</v>
      </c>
      <c r="F112" t="str">
        <f t="shared" si="3"/>
        <v>Kiribati</v>
      </c>
    </row>
    <row r="113" spans="2:6">
      <c r="B113" t="s">
        <v>99</v>
      </c>
      <c r="C113">
        <v>0</v>
      </c>
      <c r="E113">
        <f t="shared" si="2"/>
        <v>0</v>
      </c>
      <c r="F113" t="str">
        <f t="shared" si="3"/>
        <v>Kuwait</v>
      </c>
    </row>
    <row r="114" spans="2:6">
      <c r="B114" t="s">
        <v>100</v>
      </c>
      <c r="C114">
        <v>1</v>
      </c>
      <c r="E114">
        <f t="shared" si="2"/>
        <v>1</v>
      </c>
      <c r="F114" t="str">
        <f t="shared" si="3"/>
        <v>Kyrgyzstan</v>
      </c>
    </row>
    <row r="115" spans="2:6">
      <c r="B115" t="s">
        <v>101</v>
      </c>
      <c r="C115">
        <v>1</v>
      </c>
      <c r="E115">
        <f t="shared" si="2"/>
        <v>1</v>
      </c>
      <c r="F115" t="str">
        <f t="shared" si="3"/>
        <v>Lao People's Democratic Republic</v>
      </c>
    </row>
    <row r="116" spans="2:6">
      <c r="B116" t="s">
        <v>102</v>
      </c>
      <c r="C116">
        <v>6.0762499311319863E-2</v>
      </c>
      <c r="E116">
        <f t="shared" si="2"/>
        <v>6.0762499311319863E-2</v>
      </c>
      <c r="F116" t="str">
        <f t="shared" si="3"/>
        <v>Latvia</v>
      </c>
    </row>
    <row r="117" spans="2:6">
      <c r="B117" t="s">
        <v>103</v>
      </c>
      <c r="C117">
        <v>0.85508999999999991</v>
      </c>
      <c r="E117">
        <f t="shared" si="2"/>
        <v>0.85508999999999991</v>
      </c>
      <c r="F117" t="str">
        <f t="shared" si="3"/>
        <v>Lebanon</v>
      </c>
    </row>
    <row r="118" spans="2:6">
      <c r="B118" t="s">
        <v>104</v>
      </c>
      <c r="C118">
        <v>1</v>
      </c>
      <c r="E118">
        <f t="shared" si="2"/>
        <v>1</v>
      </c>
      <c r="F118" t="str">
        <f t="shared" si="3"/>
        <v>Lesotho</v>
      </c>
    </row>
    <row r="119" spans="2:6">
      <c r="B119" t="s">
        <v>105</v>
      </c>
      <c r="C119">
        <v>1</v>
      </c>
      <c r="E119">
        <f t="shared" si="2"/>
        <v>1</v>
      </c>
      <c r="F119" t="str">
        <f t="shared" si="3"/>
        <v>Liberia</v>
      </c>
    </row>
    <row r="120" spans="2:6">
      <c r="B120" t="s">
        <v>106</v>
      </c>
      <c r="C120">
        <v>0.84463216095837812</v>
      </c>
      <c r="E120">
        <f t="shared" si="2"/>
        <v>0.84463216095837812</v>
      </c>
      <c r="F120" t="str">
        <f t="shared" si="3"/>
        <v>Libya</v>
      </c>
    </row>
    <row r="121" spans="2:6">
      <c r="B121" t="s">
        <v>107</v>
      </c>
      <c r="C121">
        <v>0</v>
      </c>
      <c r="E121">
        <f t="shared" si="2"/>
        <v>0</v>
      </c>
      <c r="F121" t="str">
        <f t="shared" si="3"/>
        <v>Liechtenstein</v>
      </c>
    </row>
    <row r="122" spans="2:6">
      <c r="B122" t="s">
        <v>108</v>
      </c>
      <c r="C122">
        <v>0.34195600000000004</v>
      </c>
      <c r="E122">
        <f t="shared" si="2"/>
        <v>0.34195600000000004</v>
      </c>
      <c r="F122" t="str">
        <f t="shared" si="3"/>
        <v>Lithuania</v>
      </c>
    </row>
    <row r="123" spans="2:6">
      <c r="B123" t="s">
        <v>109</v>
      </c>
      <c r="C123">
        <v>3.1384718054268068E-2</v>
      </c>
      <c r="E123">
        <f t="shared" si="2"/>
        <v>3.1384718054268068E-2</v>
      </c>
      <c r="F123" t="str">
        <f t="shared" si="3"/>
        <v>Luxembourg</v>
      </c>
    </row>
    <row r="124" spans="2:6">
      <c r="B124" t="s">
        <v>110</v>
      </c>
      <c r="C124">
        <v>1</v>
      </c>
      <c r="E124">
        <f t="shared" si="2"/>
        <v>1</v>
      </c>
      <c r="F124" t="str">
        <f t="shared" si="3"/>
        <v>Madagascar</v>
      </c>
    </row>
    <row r="125" spans="2:6">
      <c r="B125" t="s">
        <v>111</v>
      </c>
      <c r="C125">
        <v>1</v>
      </c>
      <c r="E125">
        <f t="shared" si="2"/>
        <v>1</v>
      </c>
      <c r="F125" t="str">
        <f t="shared" si="3"/>
        <v>Malawi</v>
      </c>
    </row>
    <row r="126" spans="2:6">
      <c r="B126" t="s">
        <v>112</v>
      </c>
      <c r="C126">
        <v>3.8999999999999986E-2</v>
      </c>
      <c r="E126">
        <f t="shared" si="2"/>
        <v>3.8999999999999986E-2</v>
      </c>
      <c r="F126" t="str">
        <f t="shared" si="3"/>
        <v>Malaysia</v>
      </c>
    </row>
    <row r="127" spans="2:6">
      <c r="B127" t="s">
        <v>113</v>
      </c>
      <c r="C127">
        <v>1</v>
      </c>
      <c r="E127">
        <f t="shared" si="2"/>
        <v>1</v>
      </c>
      <c r="F127" t="str">
        <f t="shared" si="3"/>
        <v>Maldives</v>
      </c>
    </row>
    <row r="128" spans="2:6">
      <c r="B128" t="s">
        <v>114</v>
      </c>
      <c r="C128">
        <v>1</v>
      </c>
      <c r="E128">
        <f t="shared" si="2"/>
        <v>1</v>
      </c>
      <c r="F128" t="str">
        <f t="shared" si="3"/>
        <v>Mali</v>
      </c>
    </row>
    <row r="129" spans="2:6">
      <c r="B129" t="s">
        <v>115</v>
      </c>
      <c r="C129">
        <v>6.9333333333333289E-2</v>
      </c>
      <c r="E129">
        <f t="shared" si="2"/>
        <v>6.9333333333333289E-2</v>
      </c>
      <c r="F129" t="str">
        <f t="shared" si="3"/>
        <v>Malta</v>
      </c>
    </row>
    <row r="130" spans="2:6">
      <c r="B130" t="s">
        <v>116</v>
      </c>
      <c r="C130">
        <v>1</v>
      </c>
      <c r="E130">
        <f t="shared" si="2"/>
        <v>1</v>
      </c>
      <c r="F130" t="str">
        <f t="shared" si="3"/>
        <v>Marshall Islands</v>
      </c>
    </row>
    <row r="131" spans="2:6">
      <c r="B131" t="s">
        <v>117</v>
      </c>
      <c r="C131">
        <v>1</v>
      </c>
      <c r="E131">
        <f t="shared" ref="E131:E194" si="4">IF(D131="", C131, VLOOKUP(D131, $B$2:$C$245, 2, FALSE))</f>
        <v>1</v>
      </c>
      <c r="F131" t="str">
        <f t="shared" ref="F131:F194" si="5">IF(D131="", B131, D131&amp;" data used for "&amp;B131)</f>
        <v>Martinique</v>
      </c>
    </row>
    <row r="132" spans="2:6">
      <c r="B132" t="s">
        <v>118</v>
      </c>
      <c r="C132">
        <v>1</v>
      </c>
      <c r="E132">
        <f t="shared" si="4"/>
        <v>1</v>
      </c>
      <c r="F132" t="str">
        <f t="shared" si="5"/>
        <v>Mauritania</v>
      </c>
    </row>
    <row r="133" spans="2:6">
      <c r="B133" t="s">
        <v>119</v>
      </c>
      <c r="C133">
        <v>0.62096308591836991</v>
      </c>
      <c r="E133">
        <f t="shared" si="4"/>
        <v>0.62096308591836991</v>
      </c>
      <c r="F133" t="str">
        <f t="shared" si="5"/>
        <v>Mauritius</v>
      </c>
    </row>
    <row r="134" spans="2:6">
      <c r="B134" t="s">
        <v>120</v>
      </c>
      <c r="C134">
        <v>1</v>
      </c>
      <c r="E134">
        <f t="shared" si="4"/>
        <v>1</v>
      </c>
      <c r="F134" t="str">
        <f t="shared" si="5"/>
        <v>Mayotte</v>
      </c>
    </row>
    <row r="135" spans="2:6">
      <c r="B135" t="s">
        <v>121</v>
      </c>
      <c r="C135">
        <v>0.49238675446165875</v>
      </c>
      <c r="E135">
        <f t="shared" si="4"/>
        <v>0.49238675446165875</v>
      </c>
      <c r="F135" t="str">
        <f t="shared" si="5"/>
        <v>Mexico</v>
      </c>
    </row>
    <row r="136" spans="2:6">
      <c r="B136" t="s">
        <v>122</v>
      </c>
      <c r="C136" t="e">
        <v>#DIV/0!</v>
      </c>
      <c r="D136" t="s">
        <v>230</v>
      </c>
      <c r="E136">
        <f t="shared" si="4"/>
        <v>0.49868182362020491</v>
      </c>
      <c r="F136" t="str">
        <f t="shared" si="5"/>
        <v>Small island developing States data used for Micronesia (Federated States of)</v>
      </c>
    </row>
    <row r="137" spans="2:6">
      <c r="B137" t="s">
        <v>123</v>
      </c>
      <c r="C137">
        <v>0</v>
      </c>
      <c r="E137">
        <f t="shared" si="4"/>
        <v>0</v>
      </c>
      <c r="F137" t="str">
        <f t="shared" si="5"/>
        <v>Monaco</v>
      </c>
    </row>
    <row r="138" spans="2:6">
      <c r="B138" t="s">
        <v>124</v>
      </c>
      <c r="C138">
        <v>1</v>
      </c>
      <c r="E138">
        <f t="shared" si="4"/>
        <v>1</v>
      </c>
      <c r="F138" t="str">
        <f t="shared" si="5"/>
        <v>Mongolia</v>
      </c>
    </row>
    <row r="139" spans="2:6">
      <c r="B139" t="s">
        <v>125</v>
      </c>
      <c r="C139">
        <v>0.710666666666666</v>
      </c>
      <c r="E139">
        <f t="shared" si="4"/>
        <v>0.710666666666666</v>
      </c>
      <c r="F139" t="str">
        <f t="shared" si="5"/>
        <v>Montenegro</v>
      </c>
    </row>
    <row r="140" spans="2:6">
      <c r="B140" t="s">
        <v>126</v>
      </c>
      <c r="C140">
        <v>0</v>
      </c>
      <c r="E140">
        <f t="shared" si="4"/>
        <v>0</v>
      </c>
      <c r="F140" t="str">
        <f t="shared" si="5"/>
        <v>Montserrat</v>
      </c>
    </row>
    <row r="141" spans="2:6">
      <c r="B141" t="s">
        <v>127</v>
      </c>
      <c r="C141">
        <v>0.57413694871109133</v>
      </c>
      <c r="E141">
        <f t="shared" si="4"/>
        <v>0.57413694871109133</v>
      </c>
      <c r="F141" t="str">
        <f t="shared" si="5"/>
        <v>Morocco</v>
      </c>
    </row>
    <row r="142" spans="2:6">
      <c r="B142" t="s">
        <v>128</v>
      </c>
      <c r="C142">
        <v>1</v>
      </c>
      <c r="E142">
        <f t="shared" si="4"/>
        <v>1</v>
      </c>
      <c r="F142" t="str">
        <f t="shared" si="5"/>
        <v>Mozambique</v>
      </c>
    </row>
    <row r="143" spans="2:6">
      <c r="B143" t="s">
        <v>129</v>
      </c>
      <c r="C143">
        <v>1</v>
      </c>
      <c r="E143">
        <f t="shared" si="4"/>
        <v>1</v>
      </c>
      <c r="F143" t="str">
        <f t="shared" si="5"/>
        <v>Myanmar</v>
      </c>
    </row>
    <row r="144" spans="2:6">
      <c r="B144" t="s">
        <v>130</v>
      </c>
      <c r="C144">
        <v>1</v>
      </c>
      <c r="E144">
        <f t="shared" si="4"/>
        <v>1</v>
      </c>
      <c r="F144" t="str">
        <f t="shared" si="5"/>
        <v>Namibia</v>
      </c>
    </row>
    <row r="145" spans="2:6">
      <c r="B145" t="s">
        <v>131</v>
      </c>
      <c r="C145">
        <v>1</v>
      </c>
      <c r="E145">
        <f t="shared" si="4"/>
        <v>1</v>
      </c>
      <c r="F145" t="str">
        <f t="shared" si="5"/>
        <v>Nauru</v>
      </c>
    </row>
    <row r="146" spans="2:6">
      <c r="B146" t="s">
        <v>132</v>
      </c>
      <c r="C146">
        <v>1</v>
      </c>
      <c r="E146">
        <f t="shared" si="4"/>
        <v>1</v>
      </c>
      <c r="F146" t="str">
        <f t="shared" si="5"/>
        <v>Nepal</v>
      </c>
    </row>
    <row r="147" spans="2:6">
      <c r="B147" t="s">
        <v>133</v>
      </c>
      <c r="C147">
        <v>0</v>
      </c>
      <c r="E147">
        <f t="shared" si="4"/>
        <v>0</v>
      </c>
      <c r="F147" t="str">
        <f t="shared" si="5"/>
        <v>Netherlands</v>
      </c>
    </row>
    <row r="148" spans="2:6">
      <c r="B148" t="s">
        <v>134</v>
      </c>
      <c r="C148" t="e">
        <v>#DIV/0!</v>
      </c>
      <c r="D148" t="s">
        <v>230</v>
      </c>
      <c r="E148">
        <f t="shared" si="4"/>
        <v>0.49868182362020491</v>
      </c>
      <c r="F148" t="str">
        <f t="shared" si="5"/>
        <v>Small island developing States data used for New Caledonia</v>
      </c>
    </row>
    <row r="149" spans="2:6">
      <c r="B149" t="s">
        <v>135</v>
      </c>
      <c r="C149">
        <v>0.18518518518518517</v>
      </c>
      <c r="E149">
        <f t="shared" si="4"/>
        <v>0.18518518518518517</v>
      </c>
      <c r="F149" t="str">
        <f t="shared" si="5"/>
        <v>New Zealand</v>
      </c>
    </row>
    <row r="150" spans="2:6">
      <c r="B150" t="s">
        <v>136</v>
      </c>
      <c r="C150">
        <v>0.65999999999999992</v>
      </c>
      <c r="E150">
        <f t="shared" si="4"/>
        <v>0.65999999999999992</v>
      </c>
      <c r="F150" t="str">
        <f t="shared" si="5"/>
        <v>Nicaragua</v>
      </c>
    </row>
    <row r="151" spans="2:6">
      <c r="B151" t="s">
        <v>137</v>
      </c>
      <c r="C151">
        <v>0.5</v>
      </c>
      <c r="E151">
        <f t="shared" si="4"/>
        <v>0.5</v>
      </c>
      <c r="F151" t="str">
        <f t="shared" si="5"/>
        <v>Niger</v>
      </c>
    </row>
    <row r="152" spans="2:6">
      <c r="B152" t="s">
        <v>138</v>
      </c>
      <c r="C152">
        <v>1</v>
      </c>
      <c r="E152">
        <f t="shared" si="4"/>
        <v>1</v>
      </c>
      <c r="F152" t="str">
        <f t="shared" si="5"/>
        <v>Nigeria</v>
      </c>
    </row>
    <row r="153" spans="2:6">
      <c r="B153" t="s">
        <v>139</v>
      </c>
      <c r="C153">
        <v>1</v>
      </c>
      <c r="E153">
        <f t="shared" si="4"/>
        <v>1</v>
      </c>
      <c r="F153" t="str">
        <f t="shared" si="5"/>
        <v>Niue</v>
      </c>
    </row>
    <row r="154" spans="2:6">
      <c r="B154" t="s">
        <v>140</v>
      </c>
      <c r="C154">
        <v>1</v>
      </c>
      <c r="E154">
        <f t="shared" si="4"/>
        <v>1</v>
      </c>
      <c r="F154" t="str">
        <f t="shared" si="5"/>
        <v>Northern Mariana Islands</v>
      </c>
    </row>
    <row r="155" spans="2:6">
      <c r="B155" t="s">
        <v>141</v>
      </c>
      <c r="C155">
        <v>0.23322684934584351</v>
      </c>
      <c r="E155">
        <f t="shared" si="4"/>
        <v>0.23322684934584351</v>
      </c>
      <c r="F155" t="str">
        <f t="shared" si="5"/>
        <v>Norway</v>
      </c>
    </row>
    <row r="156" spans="2:6">
      <c r="B156" t="s">
        <v>142</v>
      </c>
      <c r="C156">
        <v>0</v>
      </c>
      <c r="E156">
        <f t="shared" si="4"/>
        <v>0</v>
      </c>
      <c r="F156" t="str">
        <f t="shared" si="5"/>
        <v>Oman</v>
      </c>
    </row>
    <row r="157" spans="2:6">
      <c r="B157" t="s">
        <v>143</v>
      </c>
      <c r="C157">
        <v>1</v>
      </c>
      <c r="E157">
        <f t="shared" si="4"/>
        <v>1</v>
      </c>
      <c r="F157" t="str">
        <f t="shared" si="5"/>
        <v>Pakistan</v>
      </c>
    </row>
    <row r="158" spans="2:6">
      <c r="B158" t="s">
        <v>144</v>
      </c>
      <c r="C158">
        <v>1</v>
      </c>
      <c r="E158">
        <f t="shared" si="4"/>
        <v>1</v>
      </c>
      <c r="F158" t="str">
        <f t="shared" si="5"/>
        <v>Palau</v>
      </c>
    </row>
    <row r="159" spans="2:6">
      <c r="B159" t="s">
        <v>145</v>
      </c>
      <c r="C159">
        <v>0.81699999999999995</v>
      </c>
      <c r="E159">
        <f t="shared" si="4"/>
        <v>0.81699999999999995</v>
      </c>
      <c r="F159" t="str">
        <f t="shared" si="5"/>
        <v>Panama</v>
      </c>
    </row>
    <row r="160" spans="2:6">
      <c r="B160" t="s">
        <v>146</v>
      </c>
      <c r="C160">
        <v>0.436</v>
      </c>
      <c r="E160">
        <f t="shared" si="4"/>
        <v>0.436</v>
      </c>
      <c r="F160" t="str">
        <f t="shared" si="5"/>
        <v>Papua New Guinea</v>
      </c>
    </row>
    <row r="161" spans="2:6">
      <c r="B161" t="s">
        <v>147</v>
      </c>
      <c r="C161">
        <v>0.91999999999999993</v>
      </c>
      <c r="E161">
        <f t="shared" si="4"/>
        <v>0.91999999999999993</v>
      </c>
      <c r="F161" t="str">
        <f t="shared" si="5"/>
        <v>Paraguay</v>
      </c>
    </row>
    <row r="162" spans="2:6">
      <c r="B162" t="s">
        <v>148</v>
      </c>
      <c r="C162">
        <v>0.63086373474039226</v>
      </c>
      <c r="E162">
        <f t="shared" si="4"/>
        <v>0.63086373474039226</v>
      </c>
      <c r="F162" t="str">
        <f t="shared" si="5"/>
        <v>Peru</v>
      </c>
    </row>
    <row r="163" spans="2:6">
      <c r="B163" t="s">
        <v>149</v>
      </c>
      <c r="C163">
        <v>1</v>
      </c>
      <c r="E163">
        <f t="shared" si="4"/>
        <v>1</v>
      </c>
      <c r="F163" t="str">
        <f t="shared" si="5"/>
        <v>Philippines</v>
      </c>
    </row>
    <row r="164" spans="2:6">
      <c r="B164" t="s">
        <v>150</v>
      </c>
      <c r="C164">
        <v>0</v>
      </c>
      <c r="E164">
        <f t="shared" si="4"/>
        <v>0</v>
      </c>
      <c r="F164" t="str">
        <f t="shared" si="5"/>
        <v>Poland</v>
      </c>
    </row>
    <row r="165" spans="2:6">
      <c r="B165" t="s">
        <v>151</v>
      </c>
      <c r="C165">
        <v>0.31146768035298772</v>
      </c>
      <c r="E165">
        <f t="shared" si="4"/>
        <v>0.31146768035298772</v>
      </c>
      <c r="F165" t="str">
        <f t="shared" si="5"/>
        <v>Portugal</v>
      </c>
    </row>
    <row r="166" spans="2:6">
      <c r="B166" t="s">
        <v>152</v>
      </c>
      <c r="C166">
        <v>0.67490839120190171</v>
      </c>
      <c r="E166">
        <f t="shared" si="4"/>
        <v>0.67490839120190171</v>
      </c>
      <c r="F166" t="str">
        <f t="shared" si="5"/>
        <v>Puerto Rico</v>
      </c>
    </row>
    <row r="167" spans="2:6">
      <c r="B167" t="s">
        <v>153</v>
      </c>
      <c r="C167">
        <v>0</v>
      </c>
      <c r="E167">
        <f t="shared" si="4"/>
        <v>0</v>
      </c>
      <c r="F167" t="str">
        <f t="shared" si="5"/>
        <v>Qatar</v>
      </c>
    </row>
    <row r="168" spans="2:6">
      <c r="B168" t="s">
        <v>154</v>
      </c>
      <c r="C168">
        <v>0</v>
      </c>
      <c r="E168">
        <f t="shared" si="4"/>
        <v>0</v>
      </c>
      <c r="F168" t="str">
        <f t="shared" si="5"/>
        <v>Republic of Korea</v>
      </c>
    </row>
    <row r="169" spans="2:6">
      <c r="B169" t="s">
        <v>155</v>
      </c>
      <c r="C169">
        <v>1</v>
      </c>
      <c r="E169">
        <f t="shared" si="4"/>
        <v>1</v>
      </c>
      <c r="F169" t="str">
        <f t="shared" si="5"/>
        <v>Republic of Moldova</v>
      </c>
    </row>
    <row r="170" spans="2:6">
      <c r="B170" t="s">
        <v>156</v>
      </c>
      <c r="C170">
        <v>1</v>
      </c>
      <c r="E170">
        <f t="shared" si="4"/>
        <v>1</v>
      </c>
      <c r="F170" t="str">
        <f t="shared" si="5"/>
        <v>Réunion</v>
      </c>
    </row>
    <row r="171" spans="2:6">
      <c r="B171" t="s">
        <v>157</v>
      </c>
      <c r="C171">
        <v>0.15073446734082599</v>
      </c>
      <c r="E171">
        <f t="shared" si="4"/>
        <v>0.15073446734082599</v>
      </c>
      <c r="F171" t="str">
        <f t="shared" si="5"/>
        <v>Romania</v>
      </c>
    </row>
    <row r="172" spans="2:6">
      <c r="B172" t="s">
        <v>158</v>
      </c>
      <c r="C172">
        <v>1</v>
      </c>
      <c r="E172">
        <f t="shared" si="4"/>
        <v>1</v>
      </c>
      <c r="F172" t="str">
        <f t="shared" si="5"/>
        <v>Russian Federation</v>
      </c>
    </row>
    <row r="173" spans="2:6">
      <c r="B173" t="s">
        <v>159</v>
      </c>
      <c r="C173">
        <v>0.26299999999999996</v>
      </c>
      <c r="E173">
        <f t="shared" si="4"/>
        <v>0.26299999999999996</v>
      </c>
      <c r="F173" t="str">
        <f t="shared" si="5"/>
        <v>Rwanda</v>
      </c>
    </row>
    <row r="174" spans="2:6">
      <c r="B174" t="s">
        <v>160</v>
      </c>
      <c r="C174">
        <v>1</v>
      </c>
      <c r="E174">
        <f t="shared" si="4"/>
        <v>1</v>
      </c>
      <c r="F174" t="str">
        <f t="shared" si="5"/>
        <v>Saint Helena</v>
      </c>
    </row>
    <row r="175" spans="2:6">
      <c r="B175" t="s">
        <v>161</v>
      </c>
      <c r="C175" t="e">
        <v>#DIV/0!</v>
      </c>
      <c r="D175" t="s">
        <v>230</v>
      </c>
      <c r="E175">
        <f t="shared" si="4"/>
        <v>0.49868182362020491</v>
      </c>
      <c r="F175" t="str">
        <f t="shared" si="5"/>
        <v>Small island developing States data used for Saint Kitts and Nevis</v>
      </c>
    </row>
    <row r="176" spans="2:6">
      <c r="B176" t="s">
        <v>162</v>
      </c>
      <c r="C176">
        <v>0.53999999999999992</v>
      </c>
      <c r="E176">
        <f t="shared" si="4"/>
        <v>0.53999999999999992</v>
      </c>
      <c r="F176" t="str">
        <f t="shared" si="5"/>
        <v>Saint Lucia</v>
      </c>
    </row>
    <row r="177" spans="2:6">
      <c r="B177" t="s">
        <v>163</v>
      </c>
      <c r="C177" t="e">
        <v>#DIV/0!</v>
      </c>
      <c r="D177" t="s">
        <v>62</v>
      </c>
      <c r="E177">
        <f t="shared" si="4"/>
        <v>7.4906367041198286E-3</v>
      </c>
      <c r="F177" t="str">
        <f t="shared" si="5"/>
        <v>France data used for Saint Pierre and Miquelon</v>
      </c>
    </row>
    <row r="178" spans="2:6">
      <c r="B178" t="s">
        <v>164</v>
      </c>
      <c r="C178">
        <v>1</v>
      </c>
      <c r="E178">
        <f t="shared" si="4"/>
        <v>1</v>
      </c>
      <c r="F178" t="str">
        <f t="shared" si="5"/>
        <v>Saint Vincent and the Grenadines</v>
      </c>
    </row>
    <row r="179" spans="2:6">
      <c r="B179" t="s">
        <v>165</v>
      </c>
      <c r="C179">
        <v>1</v>
      </c>
      <c r="E179">
        <f t="shared" si="4"/>
        <v>1</v>
      </c>
      <c r="F179" t="str">
        <f t="shared" si="5"/>
        <v>Samoa</v>
      </c>
    </row>
    <row r="180" spans="2:6">
      <c r="B180" t="s">
        <v>166</v>
      </c>
      <c r="C180">
        <v>0.17209999999999986</v>
      </c>
      <c r="E180">
        <f t="shared" si="4"/>
        <v>0.17209999999999986</v>
      </c>
      <c r="F180" t="str">
        <f t="shared" si="5"/>
        <v>San Marino</v>
      </c>
    </row>
    <row r="181" spans="2:6">
      <c r="B181" t="s">
        <v>167</v>
      </c>
      <c r="C181">
        <v>1</v>
      </c>
      <c r="E181">
        <f t="shared" si="4"/>
        <v>1</v>
      </c>
      <c r="F181" t="str">
        <f t="shared" si="5"/>
        <v>Sao Tome and Principe</v>
      </c>
    </row>
    <row r="182" spans="2:6">
      <c r="B182" t="s">
        <v>168</v>
      </c>
      <c r="C182">
        <v>0</v>
      </c>
      <c r="E182">
        <f t="shared" si="4"/>
        <v>0</v>
      </c>
      <c r="F182" t="str">
        <f t="shared" si="5"/>
        <v>Saudi Arabia</v>
      </c>
    </row>
    <row r="183" spans="2:6">
      <c r="B183" t="s">
        <v>169</v>
      </c>
      <c r="C183">
        <v>0.49999999999999994</v>
      </c>
      <c r="E183">
        <f t="shared" si="4"/>
        <v>0.49999999999999994</v>
      </c>
      <c r="F183" t="str">
        <f t="shared" si="5"/>
        <v>Senegal</v>
      </c>
    </row>
    <row r="184" spans="2:6">
      <c r="B184" t="s">
        <v>170</v>
      </c>
      <c r="C184">
        <v>0.92382867857142847</v>
      </c>
      <c r="E184">
        <f t="shared" si="4"/>
        <v>0.92382867857142847</v>
      </c>
      <c r="F184" t="str">
        <f t="shared" si="5"/>
        <v>Serbia</v>
      </c>
    </row>
    <row r="185" spans="2:6">
      <c r="B185" t="s">
        <v>171</v>
      </c>
      <c r="C185">
        <v>1</v>
      </c>
      <c r="E185">
        <f t="shared" si="4"/>
        <v>1</v>
      </c>
      <c r="F185" t="str">
        <f t="shared" si="5"/>
        <v>Seychelles</v>
      </c>
    </row>
    <row r="186" spans="2:6">
      <c r="B186" t="s">
        <v>172</v>
      </c>
      <c r="C186">
        <v>1</v>
      </c>
      <c r="E186">
        <f t="shared" si="4"/>
        <v>1</v>
      </c>
      <c r="F186" t="str">
        <f t="shared" si="5"/>
        <v>Sierra Leone</v>
      </c>
    </row>
    <row r="187" spans="2:6">
      <c r="B187" t="s">
        <v>173</v>
      </c>
      <c r="C187">
        <v>0</v>
      </c>
      <c r="E187">
        <f t="shared" si="4"/>
        <v>0</v>
      </c>
      <c r="F187" t="str">
        <f t="shared" si="5"/>
        <v>Singapore</v>
      </c>
    </row>
    <row r="188" spans="2:6">
      <c r="B188" t="s">
        <v>174</v>
      </c>
      <c r="C188">
        <v>1</v>
      </c>
      <c r="E188">
        <f t="shared" si="4"/>
        <v>1</v>
      </c>
      <c r="F188" t="str">
        <f t="shared" si="5"/>
        <v>Sint Maarten (Dutch part)</v>
      </c>
    </row>
    <row r="189" spans="2:6">
      <c r="B189" t="s">
        <v>175</v>
      </c>
      <c r="C189">
        <v>3.0000000000000002E-2</v>
      </c>
      <c r="E189">
        <f t="shared" si="4"/>
        <v>3.0000000000000002E-2</v>
      </c>
      <c r="F189" t="str">
        <f t="shared" si="5"/>
        <v>Slovakia</v>
      </c>
    </row>
    <row r="190" spans="2:6">
      <c r="B190" t="s">
        <v>176</v>
      </c>
      <c r="C190">
        <v>0</v>
      </c>
      <c r="E190">
        <f t="shared" si="4"/>
        <v>0</v>
      </c>
      <c r="F190" t="str">
        <f t="shared" si="5"/>
        <v>Slovenia</v>
      </c>
    </row>
    <row r="191" spans="2:6">
      <c r="B191" t="s">
        <v>177</v>
      </c>
      <c r="C191" t="e">
        <v>#DIV/0!</v>
      </c>
      <c r="D191" t="s">
        <v>230</v>
      </c>
      <c r="E191">
        <f t="shared" si="4"/>
        <v>0.49868182362020491</v>
      </c>
      <c r="F191" t="str">
        <f t="shared" si="5"/>
        <v>Small island developing States data used for Solomon Islands</v>
      </c>
    </row>
    <row r="192" spans="2:6">
      <c r="B192" t="s">
        <v>178</v>
      </c>
      <c r="C192">
        <v>0.49999999999999983</v>
      </c>
      <c r="E192">
        <f t="shared" si="4"/>
        <v>0.49999999999999983</v>
      </c>
      <c r="F192" t="str">
        <f t="shared" si="5"/>
        <v>Somalia</v>
      </c>
    </row>
    <row r="193" spans="2:6">
      <c r="B193" t="s">
        <v>179</v>
      </c>
      <c r="C193">
        <v>1</v>
      </c>
      <c r="E193">
        <f t="shared" si="4"/>
        <v>1</v>
      </c>
      <c r="F193" t="str">
        <f t="shared" si="5"/>
        <v>South Africa</v>
      </c>
    </row>
    <row r="194" spans="2:6">
      <c r="B194" t="s">
        <v>180</v>
      </c>
      <c r="C194">
        <v>1</v>
      </c>
      <c r="E194">
        <f t="shared" si="4"/>
        <v>1</v>
      </c>
      <c r="F194" t="str">
        <f t="shared" si="5"/>
        <v>South Sudan</v>
      </c>
    </row>
    <row r="195" spans="2:6">
      <c r="B195" t="s">
        <v>181</v>
      </c>
      <c r="C195">
        <v>2.4560716190984593E-2</v>
      </c>
      <c r="E195">
        <f t="shared" ref="E195:E245" si="6">IF(D195="", C195, VLOOKUP(D195, $B$2:$C$245, 2, FALSE))</f>
        <v>2.4560716190984593E-2</v>
      </c>
      <c r="F195" t="str">
        <f t="shared" ref="F195:F245" si="7">IF(D195="", B195, D195&amp;" data used for "&amp;B195)</f>
        <v>Spain</v>
      </c>
    </row>
    <row r="196" spans="2:6">
      <c r="B196" t="s">
        <v>182</v>
      </c>
      <c r="C196">
        <v>1</v>
      </c>
      <c r="E196">
        <f t="shared" si="6"/>
        <v>1</v>
      </c>
      <c r="F196" t="str">
        <f t="shared" si="7"/>
        <v>Sri Lanka</v>
      </c>
    </row>
    <row r="197" spans="2:6">
      <c r="B197" t="s">
        <v>183</v>
      </c>
      <c r="C197">
        <v>1</v>
      </c>
      <c r="E197">
        <f t="shared" si="6"/>
        <v>1</v>
      </c>
      <c r="F197" t="str">
        <f t="shared" si="7"/>
        <v>Sudan</v>
      </c>
    </row>
    <row r="198" spans="2:6">
      <c r="B198" t="s">
        <v>184</v>
      </c>
      <c r="C198">
        <v>0.999</v>
      </c>
      <c r="E198">
        <f t="shared" si="6"/>
        <v>0.999</v>
      </c>
      <c r="F198" t="str">
        <f t="shared" si="7"/>
        <v>Suriname</v>
      </c>
    </row>
    <row r="199" spans="2:6">
      <c r="B199" t="s">
        <v>185</v>
      </c>
      <c r="C199">
        <v>0.49699999999999994</v>
      </c>
      <c r="E199">
        <f t="shared" si="6"/>
        <v>0.49699999999999994</v>
      </c>
      <c r="F199" t="str">
        <f t="shared" si="7"/>
        <v>Swaziland</v>
      </c>
    </row>
    <row r="200" spans="2:6">
      <c r="B200" t="s">
        <v>186</v>
      </c>
      <c r="C200">
        <v>0</v>
      </c>
      <c r="E200">
        <f t="shared" si="6"/>
        <v>0</v>
      </c>
      <c r="F200" t="str">
        <f t="shared" si="7"/>
        <v>Sweden</v>
      </c>
    </row>
    <row r="201" spans="2:6">
      <c r="B201" t="s">
        <v>187</v>
      </c>
      <c r="C201">
        <v>0</v>
      </c>
      <c r="E201">
        <f t="shared" si="6"/>
        <v>0</v>
      </c>
      <c r="F201" t="str">
        <f t="shared" si="7"/>
        <v>Switzerland</v>
      </c>
    </row>
    <row r="202" spans="2:6">
      <c r="B202" t="s">
        <v>188</v>
      </c>
      <c r="C202">
        <v>1</v>
      </c>
      <c r="E202">
        <f t="shared" si="6"/>
        <v>1</v>
      </c>
      <c r="F202" t="str">
        <f t="shared" si="7"/>
        <v>Syrian Arab Republic</v>
      </c>
    </row>
    <row r="203" spans="2:6">
      <c r="B203" t="s">
        <v>189</v>
      </c>
      <c r="C203">
        <v>1</v>
      </c>
      <c r="E203">
        <f t="shared" si="6"/>
        <v>1</v>
      </c>
      <c r="F203" t="str">
        <f t="shared" si="7"/>
        <v>Tajikistan</v>
      </c>
    </row>
    <row r="204" spans="2:6">
      <c r="B204" t="s">
        <v>190</v>
      </c>
      <c r="C204">
        <v>1</v>
      </c>
      <c r="E204">
        <f t="shared" si="6"/>
        <v>1</v>
      </c>
      <c r="F204" t="str">
        <f t="shared" si="7"/>
        <v>Thailand</v>
      </c>
    </row>
    <row r="205" spans="2:6">
      <c r="B205" t="s">
        <v>191</v>
      </c>
      <c r="C205">
        <v>1</v>
      </c>
      <c r="E205">
        <f t="shared" si="6"/>
        <v>1</v>
      </c>
      <c r="F205" t="str">
        <f t="shared" si="7"/>
        <v>The former Yugoslav Republic of Macedonia</v>
      </c>
    </row>
    <row r="206" spans="2:6">
      <c r="B206" t="s">
        <v>192</v>
      </c>
      <c r="C206">
        <v>1</v>
      </c>
      <c r="E206">
        <f t="shared" si="6"/>
        <v>1</v>
      </c>
      <c r="F206" t="str">
        <f t="shared" si="7"/>
        <v>Timor-Leste</v>
      </c>
    </row>
    <row r="207" spans="2:6">
      <c r="B207" t="s">
        <v>193</v>
      </c>
      <c r="C207">
        <v>1</v>
      </c>
      <c r="E207">
        <f t="shared" si="6"/>
        <v>1</v>
      </c>
      <c r="F207" t="str">
        <f t="shared" si="7"/>
        <v>Togo</v>
      </c>
    </row>
    <row r="208" spans="2:6">
      <c r="B208" t="s">
        <v>194</v>
      </c>
      <c r="C208" t="e">
        <v>#DIV/0!</v>
      </c>
      <c r="D208" t="s">
        <v>230</v>
      </c>
      <c r="E208">
        <f t="shared" si="6"/>
        <v>0.49868182362020491</v>
      </c>
      <c r="F208" t="str">
        <f t="shared" si="7"/>
        <v>Small island developing States data used for Tokelau</v>
      </c>
    </row>
    <row r="209" spans="2:6">
      <c r="B209" t="s">
        <v>195</v>
      </c>
      <c r="C209" t="e">
        <v>#DIV/0!</v>
      </c>
      <c r="D209" t="s">
        <v>230</v>
      </c>
      <c r="E209">
        <f t="shared" si="6"/>
        <v>0.49868182362020491</v>
      </c>
      <c r="F209" t="str">
        <f t="shared" si="7"/>
        <v>Small island developing States data used for Tonga</v>
      </c>
    </row>
    <row r="210" spans="2:6">
      <c r="B210" t="s">
        <v>196</v>
      </c>
      <c r="C210">
        <v>0.34999999999999981</v>
      </c>
      <c r="E210">
        <f t="shared" si="6"/>
        <v>0.34999999999999981</v>
      </c>
      <c r="F210" t="str">
        <f t="shared" si="7"/>
        <v>Trinidad and Tobago</v>
      </c>
    </row>
    <row r="211" spans="2:6">
      <c r="B211" t="s">
        <v>197</v>
      </c>
      <c r="C211">
        <v>3.4205913181074209E-2</v>
      </c>
      <c r="E211">
        <f t="shared" si="6"/>
        <v>3.4205913181074209E-2</v>
      </c>
      <c r="F211" t="str">
        <f t="shared" si="7"/>
        <v>Tunisia</v>
      </c>
    </row>
    <row r="212" spans="2:6">
      <c r="B212" t="s">
        <v>198</v>
      </c>
      <c r="C212">
        <v>0.54781967213114968</v>
      </c>
      <c r="E212">
        <f t="shared" si="6"/>
        <v>0.54781967213114968</v>
      </c>
      <c r="F212" t="str">
        <f t="shared" si="7"/>
        <v>Turkey</v>
      </c>
    </row>
    <row r="213" spans="2:6">
      <c r="B213" t="s">
        <v>199</v>
      </c>
      <c r="C213">
        <v>1</v>
      </c>
      <c r="E213">
        <f t="shared" si="6"/>
        <v>1</v>
      </c>
      <c r="F213" t="str">
        <f t="shared" si="7"/>
        <v>Turkmenistan</v>
      </c>
    </row>
    <row r="214" spans="2:6">
      <c r="B214" t="s">
        <v>200</v>
      </c>
      <c r="C214">
        <v>1</v>
      </c>
      <c r="E214">
        <f t="shared" si="6"/>
        <v>1</v>
      </c>
      <c r="F214" t="str">
        <f t="shared" si="7"/>
        <v>Turks and Caicos Islands</v>
      </c>
    </row>
    <row r="215" spans="2:6">
      <c r="B215" t="s">
        <v>201</v>
      </c>
      <c r="C215">
        <v>1</v>
      </c>
      <c r="E215">
        <f t="shared" si="6"/>
        <v>1</v>
      </c>
      <c r="F215" t="str">
        <f t="shared" si="7"/>
        <v>Tuvalu</v>
      </c>
    </row>
    <row r="216" spans="2:6">
      <c r="B216" t="s">
        <v>202</v>
      </c>
      <c r="C216">
        <v>0.57821917808218126</v>
      </c>
      <c r="E216">
        <f t="shared" si="6"/>
        <v>0.57821917808218126</v>
      </c>
      <c r="F216" t="str">
        <f t="shared" si="7"/>
        <v>Uganda</v>
      </c>
    </row>
    <row r="217" spans="2:6">
      <c r="B217" t="s">
        <v>203</v>
      </c>
      <c r="C217">
        <v>1</v>
      </c>
      <c r="E217">
        <f t="shared" si="6"/>
        <v>1</v>
      </c>
      <c r="F217" t="str">
        <f t="shared" si="7"/>
        <v>Ukraine</v>
      </c>
    </row>
    <row r="218" spans="2:6">
      <c r="B218" t="s">
        <v>204</v>
      </c>
      <c r="C218">
        <v>8.6356535323726599E-3</v>
      </c>
      <c r="E218">
        <f t="shared" si="6"/>
        <v>8.6356535323726599E-3</v>
      </c>
      <c r="F218" t="str">
        <f t="shared" si="7"/>
        <v>United Arab Emirates</v>
      </c>
    </row>
    <row r="219" spans="2:6">
      <c r="B219" t="s">
        <v>205</v>
      </c>
      <c r="C219">
        <v>3.4399724802204861E-4</v>
      </c>
      <c r="E219">
        <f t="shared" si="6"/>
        <v>3.4399724802204861E-4</v>
      </c>
      <c r="F219" t="str">
        <f t="shared" si="7"/>
        <v>United Kingdom</v>
      </c>
    </row>
    <row r="220" spans="2:6">
      <c r="B220" t="s">
        <v>206</v>
      </c>
      <c r="C220">
        <v>0.25149999999999995</v>
      </c>
      <c r="E220">
        <f t="shared" si="6"/>
        <v>0.25149999999999995</v>
      </c>
      <c r="F220" t="str">
        <f t="shared" si="7"/>
        <v>United Republic of Tanzania</v>
      </c>
    </row>
    <row r="221" spans="2:6">
      <c r="B221" t="s">
        <v>207</v>
      </c>
      <c r="C221">
        <v>1</v>
      </c>
      <c r="E221">
        <f t="shared" si="6"/>
        <v>1</v>
      </c>
      <c r="F221" t="str">
        <f t="shared" si="7"/>
        <v>United States Virgin Islands</v>
      </c>
    </row>
    <row r="222" spans="2:6">
      <c r="B222" t="s">
        <v>208</v>
      </c>
      <c r="C222">
        <v>1.7967659616890203E-2</v>
      </c>
      <c r="E222">
        <f t="shared" si="6"/>
        <v>1.7967659616890203E-2</v>
      </c>
      <c r="F222" t="str">
        <f t="shared" si="7"/>
        <v>United States of America</v>
      </c>
    </row>
    <row r="223" spans="2:6">
      <c r="B223" t="s">
        <v>209</v>
      </c>
      <c r="C223">
        <v>0.22999999999999998</v>
      </c>
      <c r="E223">
        <f t="shared" si="6"/>
        <v>0.22999999999999998</v>
      </c>
      <c r="F223" t="str">
        <f t="shared" si="7"/>
        <v>Uruguay</v>
      </c>
    </row>
    <row r="224" spans="2:6">
      <c r="B224" t="s">
        <v>210</v>
      </c>
      <c r="C224">
        <v>1</v>
      </c>
      <c r="E224">
        <f t="shared" si="6"/>
        <v>1</v>
      </c>
      <c r="F224" t="str">
        <f t="shared" si="7"/>
        <v>Uzbekistan</v>
      </c>
    </row>
    <row r="225" spans="2:6">
      <c r="B225" t="s">
        <v>211</v>
      </c>
      <c r="C225">
        <v>1</v>
      </c>
      <c r="E225">
        <f t="shared" si="6"/>
        <v>1</v>
      </c>
      <c r="F225" t="str">
        <f t="shared" si="7"/>
        <v>Vanuatu</v>
      </c>
    </row>
    <row r="226" spans="2:6">
      <c r="B226" t="s">
        <v>212</v>
      </c>
      <c r="C226">
        <v>0.89999999999999991</v>
      </c>
      <c r="E226">
        <f t="shared" si="6"/>
        <v>0.89999999999999991</v>
      </c>
      <c r="F226" t="str">
        <f t="shared" si="7"/>
        <v>Venezuela (Bolivarian Republic of)</v>
      </c>
    </row>
    <row r="227" spans="2:6">
      <c r="B227" t="s">
        <v>213</v>
      </c>
      <c r="C227">
        <v>1</v>
      </c>
      <c r="E227">
        <f t="shared" si="6"/>
        <v>1</v>
      </c>
      <c r="F227" t="str">
        <f t="shared" si="7"/>
        <v>Viet Nam</v>
      </c>
    </row>
    <row r="228" spans="2:6">
      <c r="B228" t="s">
        <v>214</v>
      </c>
      <c r="C228" t="e">
        <v>#DIV/0!</v>
      </c>
      <c r="D228" t="s">
        <v>230</v>
      </c>
      <c r="E228">
        <f t="shared" si="6"/>
        <v>0.49868182362020491</v>
      </c>
      <c r="F228" t="str">
        <f t="shared" si="7"/>
        <v>Small island developing States data used for Wallis and Futuna Islands</v>
      </c>
    </row>
    <row r="229" spans="2:6">
      <c r="B229" t="s">
        <v>215</v>
      </c>
      <c r="C229">
        <v>0.25765130391996072</v>
      </c>
      <c r="E229">
        <f t="shared" si="6"/>
        <v>0.25765130391996072</v>
      </c>
      <c r="F229" t="str">
        <f t="shared" si="7"/>
        <v>West Bank and Gaza Strip</v>
      </c>
    </row>
    <row r="230" spans="2:6">
      <c r="B230" t="s">
        <v>216</v>
      </c>
      <c r="C230" t="e">
        <v>#DIV/0!</v>
      </c>
      <c r="D230" t="s">
        <v>228</v>
      </c>
      <c r="E230">
        <f t="shared" si="6"/>
        <v>1</v>
      </c>
      <c r="F230" t="str">
        <f t="shared" si="7"/>
        <v>Least Developed Countries data used for Western Sahara</v>
      </c>
    </row>
    <row r="231" spans="2:6">
      <c r="B231" t="s">
        <v>217</v>
      </c>
      <c r="C231">
        <v>0.68175305886348947</v>
      </c>
      <c r="E231">
        <f t="shared" si="6"/>
        <v>0.68175305886348947</v>
      </c>
      <c r="F231" t="str">
        <f t="shared" si="7"/>
        <v>Yemen</v>
      </c>
    </row>
    <row r="232" spans="2:6">
      <c r="B232" t="s">
        <v>218</v>
      </c>
      <c r="C232">
        <v>1</v>
      </c>
      <c r="E232">
        <f t="shared" si="6"/>
        <v>1</v>
      </c>
      <c r="F232" t="str">
        <f t="shared" si="7"/>
        <v>Zambia</v>
      </c>
    </row>
    <row r="233" spans="2:6">
      <c r="B233" t="s">
        <v>219</v>
      </c>
      <c r="C233">
        <v>1</v>
      </c>
      <c r="E233">
        <f t="shared" si="6"/>
        <v>1</v>
      </c>
      <c r="F233" t="str">
        <f t="shared" si="7"/>
        <v>Zimbabwe</v>
      </c>
    </row>
    <row r="234" spans="2:6">
      <c r="B234" t="s">
        <v>220</v>
      </c>
      <c r="C234">
        <v>0.220236286607566</v>
      </c>
      <c r="E234">
        <f t="shared" si="6"/>
        <v>0.220236286607566</v>
      </c>
      <c r="F234" t="str">
        <f t="shared" si="7"/>
        <v>Australia and New Zealand</v>
      </c>
    </row>
    <row r="235" spans="2:6">
      <c r="B235" t="s">
        <v>221</v>
      </c>
      <c r="C235">
        <v>0.70173844086604298</v>
      </c>
      <c r="E235">
        <f t="shared" si="6"/>
        <v>0.70173844086604298</v>
      </c>
      <c r="F235" t="str">
        <f t="shared" si="7"/>
        <v>Central Asia and Southern Asia</v>
      </c>
    </row>
    <row r="236" spans="2:6">
      <c r="B236" t="s">
        <v>222</v>
      </c>
      <c r="C236">
        <v>0.14474224947414427</v>
      </c>
      <c r="E236">
        <f t="shared" si="6"/>
        <v>0.14474224947414427</v>
      </c>
      <c r="F236" t="str">
        <f t="shared" si="7"/>
        <v>Eastern Asia and South-eastern Asia</v>
      </c>
    </row>
    <row r="237" spans="2:6">
      <c r="B237" t="s">
        <v>223</v>
      </c>
      <c r="C237">
        <v>0.62828949869314421</v>
      </c>
      <c r="E237">
        <f t="shared" si="6"/>
        <v>0.62828949869314421</v>
      </c>
      <c r="F237" t="str">
        <f t="shared" si="7"/>
        <v>Latin America and the Caribbean</v>
      </c>
    </row>
    <row r="238" spans="2:6">
      <c r="B238" t="s">
        <v>224</v>
      </c>
      <c r="C238">
        <v>5.0917413580286244E-2</v>
      </c>
      <c r="E238">
        <f t="shared" si="6"/>
        <v>5.0917413580286244E-2</v>
      </c>
      <c r="F238" t="str">
        <f t="shared" si="7"/>
        <v>Northern America and Europe</v>
      </c>
    </row>
    <row r="239" spans="2:6">
      <c r="B239" t="s">
        <v>225</v>
      </c>
      <c r="C239">
        <v>0.54684139644578833</v>
      </c>
      <c r="E239">
        <f t="shared" si="6"/>
        <v>0.54684139644578833</v>
      </c>
      <c r="F239" t="str">
        <f t="shared" si="7"/>
        <v>Oceania excluding Australia and New Zealand</v>
      </c>
    </row>
    <row r="240" spans="2:6">
      <c r="B240" t="s">
        <v>226</v>
      </c>
      <c r="C240">
        <v>1</v>
      </c>
      <c r="E240">
        <f t="shared" si="6"/>
        <v>1</v>
      </c>
      <c r="F240" t="str">
        <f t="shared" si="7"/>
        <v>Sub-Saharan Africa</v>
      </c>
    </row>
    <row r="241" spans="2:6">
      <c r="B241" t="s">
        <v>227</v>
      </c>
      <c r="C241">
        <v>0.41328147989965758</v>
      </c>
      <c r="E241">
        <f t="shared" si="6"/>
        <v>0.41328147989965758</v>
      </c>
      <c r="F241" t="str">
        <f t="shared" si="7"/>
        <v>Western Asia and Northern Africa</v>
      </c>
    </row>
    <row r="242" spans="2:6">
      <c r="B242" t="s">
        <v>228</v>
      </c>
      <c r="C242">
        <v>1</v>
      </c>
      <c r="E242">
        <f t="shared" si="6"/>
        <v>1</v>
      </c>
      <c r="F242" t="str">
        <f t="shared" si="7"/>
        <v>Least Developed Countries</v>
      </c>
    </row>
    <row r="243" spans="2:6">
      <c r="B243" t="s">
        <v>229</v>
      </c>
      <c r="C243">
        <v>0.41315395503910085</v>
      </c>
      <c r="E243">
        <f t="shared" si="6"/>
        <v>0.41315395503910085</v>
      </c>
      <c r="F243" t="str">
        <f t="shared" si="7"/>
        <v>Landlocked developing countries</v>
      </c>
    </row>
    <row r="244" spans="2:6">
      <c r="B244" t="s">
        <v>230</v>
      </c>
      <c r="C244">
        <v>0.49868182362020491</v>
      </c>
      <c r="E244">
        <f t="shared" si="6"/>
        <v>0.49868182362020491</v>
      </c>
      <c r="F244" t="str">
        <f t="shared" si="7"/>
        <v>Small island developing States</v>
      </c>
    </row>
    <row r="245" spans="2:6">
      <c r="B245" t="s">
        <v>231</v>
      </c>
      <c r="C245">
        <v>0.26791742642464067</v>
      </c>
      <c r="E245">
        <f t="shared" si="6"/>
        <v>0.26791742642464067</v>
      </c>
      <c r="F245" t="str">
        <f t="shared" si="7"/>
        <v>World</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5"/>
  <sheetViews>
    <sheetView tabSelected="1" workbookViewId="0"/>
  </sheetViews>
  <sheetFormatPr defaultRowHeight="14.4"/>
  <cols>
    <col min="1" max="1" width="38.41796875" bestFit="1" customWidth="1"/>
    <col min="2" max="2" width="61.578125" bestFit="1" customWidth="1"/>
    <col min="3" max="3" width="12.734375" bestFit="1" customWidth="1"/>
  </cols>
  <sheetData>
    <row r="1" spans="1:3">
      <c r="A1" s="153" t="s">
        <v>513</v>
      </c>
      <c r="B1" s="153" t="s">
        <v>539</v>
      </c>
      <c r="C1" s="153" t="s">
        <v>540</v>
      </c>
    </row>
    <row r="2" spans="1:3">
      <c r="A2" t="s">
        <v>258</v>
      </c>
      <c r="B2" t="s">
        <v>258</v>
      </c>
      <c r="C2">
        <v>1</v>
      </c>
    </row>
    <row r="3" spans="1:3">
      <c r="A3" t="s">
        <v>0</v>
      </c>
      <c r="B3" t="s">
        <v>0</v>
      </c>
      <c r="C3">
        <v>0.33333333333333348</v>
      </c>
    </row>
    <row r="4" spans="1:3">
      <c r="A4" t="s">
        <v>261</v>
      </c>
      <c r="B4" t="s">
        <v>261</v>
      </c>
      <c r="C4">
        <v>0.82472808782699514</v>
      </c>
    </row>
    <row r="5" spans="1:3">
      <c r="A5" t="s">
        <v>1</v>
      </c>
      <c r="B5" t="s">
        <v>1</v>
      </c>
      <c r="C5">
        <v>1</v>
      </c>
    </row>
    <row r="6" spans="1:3">
      <c r="A6" t="s">
        <v>264</v>
      </c>
      <c r="B6" t="s">
        <v>264</v>
      </c>
      <c r="C6">
        <v>0</v>
      </c>
    </row>
    <row r="7" spans="1:3">
      <c r="A7" t="s">
        <v>2</v>
      </c>
      <c r="B7" t="s">
        <v>2</v>
      </c>
      <c r="C7">
        <v>1</v>
      </c>
    </row>
    <row r="8" spans="1:3">
      <c r="A8" t="s">
        <v>267</v>
      </c>
      <c r="B8" t="s">
        <v>267</v>
      </c>
      <c r="C8">
        <v>1</v>
      </c>
    </row>
    <row r="9" spans="1:3">
      <c r="A9" t="s">
        <v>3</v>
      </c>
      <c r="B9" t="s">
        <v>3</v>
      </c>
      <c r="C9">
        <v>0</v>
      </c>
    </row>
    <row r="10" spans="1:3">
      <c r="A10" t="s">
        <v>270</v>
      </c>
      <c r="B10" t="s">
        <v>270</v>
      </c>
      <c r="C10">
        <v>0.86758100810081029</v>
      </c>
    </row>
    <row r="11" spans="1:3">
      <c r="A11" t="s">
        <v>4</v>
      </c>
      <c r="B11" t="s">
        <v>4</v>
      </c>
      <c r="C11">
        <v>1</v>
      </c>
    </row>
    <row r="12" spans="1:3">
      <c r="A12" t="s">
        <v>273</v>
      </c>
      <c r="B12" t="s">
        <v>273</v>
      </c>
      <c r="C12">
        <v>5.0000000000000051E-2</v>
      </c>
    </row>
    <row r="13" spans="1:3">
      <c r="A13" t="s">
        <v>5</v>
      </c>
      <c r="B13" t="s">
        <v>5</v>
      </c>
      <c r="C13">
        <v>0.22640000000000096</v>
      </c>
    </row>
    <row r="14" spans="1:3">
      <c r="A14" t="s">
        <v>276</v>
      </c>
      <c r="B14" t="s">
        <v>276</v>
      </c>
      <c r="C14">
        <v>0</v>
      </c>
    </row>
    <row r="15" spans="1:3">
      <c r="A15" t="s">
        <v>6</v>
      </c>
      <c r="B15" t="s">
        <v>6</v>
      </c>
      <c r="C15">
        <v>4.4838235294117658E-2</v>
      </c>
    </row>
    <row r="16" spans="1:3">
      <c r="A16" t="s">
        <v>279</v>
      </c>
      <c r="B16" t="s">
        <v>279</v>
      </c>
      <c r="C16">
        <v>0.20000000000000018</v>
      </c>
    </row>
    <row r="17" spans="1:3">
      <c r="A17" t="s">
        <v>7</v>
      </c>
      <c r="B17" t="s">
        <v>518</v>
      </c>
      <c r="C17">
        <v>0.41328147989965758</v>
      </c>
    </row>
    <row r="18" spans="1:3">
      <c r="A18" t="s">
        <v>282</v>
      </c>
      <c r="B18" t="s">
        <v>282</v>
      </c>
      <c r="C18">
        <v>1</v>
      </c>
    </row>
    <row r="19" spans="1:3">
      <c r="A19" t="s">
        <v>8</v>
      </c>
      <c r="B19" t="s">
        <v>8</v>
      </c>
      <c r="C19">
        <v>0</v>
      </c>
    </row>
    <row r="20" spans="1:3">
      <c r="A20" t="s">
        <v>285</v>
      </c>
      <c r="B20" t="s">
        <v>285</v>
      </c>
      <c r="C20">
        <v>0.15612666666666886</v>
      </c>
    </row>
    <row r="21" spans="1:3">
      <c r="A21" t="s">
        <v>9</v>
      </c>
      <c r="B21" t="s">
        <v>9</v>
      </c>
      <c r="C21">
        <v>0</v>
      </c>
    </row>
    <row r="22" spans="1:3">
      <c r="A22" t="s">
        <v>288</v>
      </c>
      <c r="B22" t="s">
        <v>288</v>
      </c>
      <c r="C22">
        <v>0.43299999999999983</v>
      </c>
    </row>
    <row r="23" spans="1:3">
      <c r="A23" t="s">
        <v>10</v>
      </c>
      <c r="B23" t="s">
        <v>10</v>
      </c>
      <c r="C23">
        <v>1</v>
      </c>
    </row>
    <row r="24" spans="1:3">
      <c r="A24" t="s">
        <v>11</v>
      </c>
      <c r="B24" t="s">
        <v>519</v>
      </c>
      <c r="C24">
        <v>0.49868182362020491</v>
      </c>
    </row>
    <row r="25" spans="1:3">
      <c r="A25" t="s">
        <v>12</v>
      </c>
      <c r="B25" t="s">
        <v>12</v>
      </c>
      <c r="C25">
        <v>1</v>
      </c>
    </row>
    <row r="26" spans="1:3">
      <c r="A26" t="s">
        <v>13</v>
      </c>
      <c r="B26" t="s">
        <v>13</v>
      </c>
      <c r="C26">
        <v>0.7</v>
      </c>
    </row>
    <row r="27" spans="1:3">
      <c r="A27" t="s">
        <v>294</v>
      </c>
      <c r="B27" t="s">
        <v>294</v>
      </c>
      <c r="C27">
        <v>0.98091111111111107</v>
      </c>
    </row>
    <row r="28" spans="1:3">
      <c r="A28" t="s">
        <v>14</v>
      </c>
      <c r="B28" t="s">
        <v>520</v>
      </c>
      <c r="C28">
        <v>1</v>
      </c>
    </row>
    <row r="29" spans="1:3">
      <c r="A29" t="s">
        <v>15</v>
      </c>
      <c r="B29" t="s">
        <v>15</v>
      </c>
      <c r="C29">
        <v>0.56961538461538119</v>
      </c>
    </row>
    <row r="30" spans="1:3">
      <c r="A30" t="s">
        <v>16</v>
      </c>
      <c r="B30" t="s">
        <v>16</v>
      </c>
      <c r="C30">
        <v>1</v>
      </c>
    </row>
    <row r="31" spans="1:3">
      <c r="A31" t="s">
        <v>17</v>
      </c>
      <c r="B31" t="s">
        <v>17</v>
      </c>
      <c r="C31">
        <v>1</v>
      </c>
    </row>
    <row r="32" spans="1:3">
      <c r="A32" t="s">
        <v>18</v>
      </c>
      <c r="B32" t="s">
        <v>18</v>
      </c>
      <c r="C32">
        <v>0.41135875840236624</v>
      </c>
    </row>
    <row r="33" spans="1:3">
      <c r="A33" t="s">
        <v>19</v>
      </c>
      <c r="B33" t="s">
        <v>19</v>
      </c>
      <c r="C33">
        <v>1</v>
      </c>
    </row>
    <row r="34" spans="1:3">
      <c r="A34" t="s">
        <v>20</v>
      </c>
      <c r="B34" t="s">
        <v>20</v>
      </c>
      <c r="C34">
        <v>1</v>
      </c>
    </row>
    <row r="35" spans="1:3">
      <c r="A35" t="s">
        <v>21</v>
      </c>
      <c r="B35" t="s">
        <v>21</v>
      </c>
      <c r="C35">
        <v>1</v>
      </c>
    </row>
    <row r="36" spans="1:3">
      <c r="A36" t="s">
        <v>22</v>
      </c>
      <c r="B36" t="s">
        <v>22</v>
      </c>
      <c r="C36">
        <v>1</v>
      </c>
    </row>
    <row r="37" spans="1:3">
      <c r="A37" t="s">
        <v>23</v>
      </c>
      <c r="B37" t="s">
        <v>23</v>
      </c>
      <c r="C37">
        <v>1</v>
      </c>
    </row>
    <row r="38" spans="1:3">
      <c r="A38" t="s">
        <v>24</v>
      </c>
      <c r="B38" t="s">
        <v>24</v>
      </c>
      <c r="C38">
        <v>0.16678613369122569</v>
      </c>
    </row>
    <row r="39" spans="1:3">
      <c r="A39" t="s">
        <v>25</v>
      </c>
      <c r="B39" t="s">
        <v>521</v>
      </c>
      <c r="C39">
        <v>0.49868182362020491</v>
      </c>
    </row>
    <row r="40" spans="1:3">
      <c r="A40" t="s">
        <v>26</v>
      </c>
      <c r="B40" t="s">
        <v>26</v>
      </c>
      <c r="C40">
        <v>1</v>
      </c>
    </row>
    <row r="41" spans="1:3">
      <c r="A41" t="s">
        <v>27</v>
      </c>
      <c r="B41" t="s">
        <v>27</v>
      </c>
      <c r="C41">
        <v>1</v>
      </c>
    </row>
    <row r="42" spans="1:3">
      <c r="A42" t="s">
        <v>28</v>
      </c>
      <c r="B42" t="s">
        <v>28</v>
      </c>
      <c r="C42">
        <v>1</v>
      </c>
    </row>
    <row r="43" spans="1:3">
      <c r="A43" t="s">
        <v>29</v>
      </c>
      <c r="B43" t="s">
        <v>29</v>
      </c>
      <c r="C43">
        <v>1</v>
      </c>
    </row>
    <row r="44" spans="1:3">
      <c r="A44" t="s">
        <v>30</v>
      </c>
      <c r="B44" t="s">
        <v>30</v>
      </c>
      <c r="C44">
        <v>0.10417968595302232</v>
      </c>
    </row>
    <row r="45" spans="1:3">
      <c r="A45" t="s">
        <v>31</v>
      </c>
      <c r="B45" t="s">
        <v>31</v>
      </c>
      <c r="C45">
        <v>0.11581818181817659</v>
      </c>
    </row>
    <row r="46" spans="1:3">
      <c r="A46" t="s">
        <v>32</v>
      </c>
      <c r="B46" t="s">
        <v>32</v>
      </c>
      <c r="C46">
        <v>0.84512455555555555</v>
      </c>
    </row>
    <row r="47" spans="1:3">
      <c r="A47" t="s">
        <v>33</v>
      </c>
      <c r="B47" t="s">
        <v>522</v>
      </c>
      <c r="C47">
        <v>0.11581818181817659</v>
      </c>
    </row>
    <row r="48" spans="1:3">
      <c r="A48" t="s">
        <v>34</v>
      </c>
      <c r="B48" t="s">
        <v>34</v>
      </c>
      <c r="C48">
        <v>0.83829713543267603</v>
      </c>
    </row>
    <row r="49" spans="1:3">
      <c r="A49" t="s">
        <v>35</v>
      </c>
      <c r="B49" t="s">
        <v>35</v>
      </c>
      <c r="C49">
        <v>1</v>
      </c>
    </row>
    <row r="50" spans="1:3">
      <c r="A50" t="s">
        <v>36</v>
      </c>
      <c r="B50" t="s">
        <v>36</v>
      </c>
      <c r="C50">
        <v>1</v>
      </c>
    </row>
    <row r="51" spans="1:3">
      <c r="A51" t="s">
        <v>37</v>
      </c>
      <c r="B51" t="s">
        <v>523</v>
      </c>
      <c r="C51">
        <v>0.49868182362020491</v>
      </c>
    </row>
    <row r="52" spans="1:3">
      <c r="A52" t="s">
        <v>38</v>
      </c>
      <c r="B52" t="s">
        <v>38</v>
      </c>
      <c r="C52">
        <v>0.95800000000000007</v>
      </c>
    </row>
    <row r="53" spans="1:3">
      <c r="A53" t="s">
        <v>39</v>
      </c>
      <c r="B53" t="s">
        <v>39</v>
      </c>
      <c r="C53">
        <v>1</v>
      </c>
    </row>
    <row r="54" spans="1:3">
      <c r="A54" t="s">
        <v>40</v>
      </c>
      <c r="B54" t="s">
        <v>40</v>
      </c>
      <c r="C54">
        <v>0.30310880829015541</v>
      </c>
    </row>
    <row r="55" spans="1:3">
      <c r="A55" t="s">
        <v>41</v>
      </c>
      <c r="B55" t="s">
        <v>41</v>
      </c>
      <c r="C55">
        <v>0.81100000000000005</v>
      </c>
    </row>
    <row r="56" spans="1:3">
      <c r="A56" t="s">
        <v>42</v>
      </c>
      <c r="B56" t="s">
        <v>42</v>
      </c>
      <c r="C56">
        <v>1</v>
      </c>
    </row>
    <row r="57" spans="1:3">
      <c r="A57" t="s">
        <v>43</v>
      </c>
      <c r="B57" t="s">
        <v>43</v>
      </c>
      <c r="C57">
        <v>0</v>
      </c>
    </row>
    <row r="58" spans="1:3">
      <c r="A58" t="s">
        <v>44</v>
      </c>
      <c r="B58" t="s">
        <v>44</v>
      </c>
      <c r="C58">
        <v>0.13302869421766103</v>
      </c>
    </row>
    <row r="59" spans="1:3">
      <c r="A59" t="s">
        <v>45</v>
      </c>
      <c r="B59" t="s">
        <v>45</v>
      </c>
      <c r="C59">
        <v>1</v>
      </c>
    </row>
    <row r="60" spans="1:3">
      <c r="A60" t="s">
        <v>46</v>
      </c>
      <c r="B60" t="s">
        <v>46</v>
      </c>
      <c r="C60">
        <v>1</v>
      </c>
    </row>
    <row r="61" spans="1:3">
      <c r="A61" t="s">
        <v>47</v>
      </c>
      <c r="B61" t="s">
        <v>47</v>
      </c>
      <c r="C61">
        <v>1.8110462301152153E-2</v>
      </c>
    </row>
    <row r="62" spans="1:3">
      <c r="A62" t="s">
        <v>48</v>
      </c>
      <c r="B62" t="s">
        <v>48</v>
      </c>
      <c r="C62">
        <v>1</v>
      </c>
    </row>
    <row r="63" spans="1:3">
      <c r="A63" t="s">
        <v>49</v>
      </c>
      <c r="B63" t="s">
        <v>49</v>
      </c>
      <c r="C63">
        <v>1</v>
      </c>
    </row>
    <row r="64" spans="1:3">
      <c r="A64" t="s">
        <v>50</v>
      </c>
      <c r="B64" t="s">
        <v>50</v>
      </c>
      <c r="C64">
        <v>0.51299999999999968</v>
      </c>
    </row>
    <row r="65" spans="1:3">
      <c r="A65" t="s">
        <v>51</v>
      </c>
      <c r="B65" t="s">
        <v>51</v>
      </c>
      <c r="C65">
        <v>0.71249999999999991</v>
      </c>
    </row>
    <row r="66" spans="1:3">
      <c r="A66" t="s">
        <v>52</v>
      </c>
      <c r="B66" t="s">
        <v>52</v>
      </c>
      <c r="C66">
        <v>0.25906808889803296</v>
      </c>
    </row>
    <row r="67" spans="1:3">
      <c r="A67" t="s">
        <v>53</v>
      </c>
      <c r="B67" t="s">
        <v>53</v>
      </c>
      <c r="C67">
        <v>1</v>
      </c>
    </row>
    <row r="68" spans="1:3">
      <c r="A68" t="s">
        <v>54</v>
      </c>
      <c r="B68" t="s">
        <v>54</v>
      </c>
      <c r="C68">
        <v>1</v>
      </c>
    </row>
    <row r="69" spans="1:3">
      <c r="A69" t="s">
        <v>55</v>
      </c>
      <c r="B69" t="s">
        <v>55</v>
      </c>
      <c r="C69">
        <v>1</v>
      </c>
    </row>
    <row r="70" spans="1:3">
      <c r="A70" t="s">
        <v>56</v>
      </c>
      <c r="B70" t="s">
        <v>56</v>
      </c>
      <c r="C70">
        <v>7.9179133705786515E-3</v>
      </c>
    </row>
    <row r="71" spans="1:3">
      <c r="A71" t="s">
        <v>57</v>
      </c>
      <c r="B71" t="s">
        <v>57</v>
      </c>
      <c r="C71">
        <v>1</v>
      </c>
    </row>
    <row r="72" spans="1:3">
      <c r="A72" t="s">
        <v>58</v>
      </c>
      <c r="B72" t="s">
        <v>58</v>
      </c>
      <c r="C72">
        <v>1</v>
      </c>
    </row>
    <row r="73" spans="1:3">
      <c r="A73" t="s">
        <v>59</v>
      </c>
      <c r="B73" t="s">
        <v>524</v>
      </c>
      <c r="C73">
        <v>0.49868182362020491</v>
      </c>
    </row>
    <row r="74" spans="1:3">
      <c r="A74" t="s">
        <v>60</v>
      </c>
      <c r="B74" t="s">
        <v>525</v>
      </c>
      <c r="C74">
        <v>0.49868182362020491</v>
      </c>
    </row>
    <row r="75" spans="1:3">
      <c r="A75" t="s">
        <v>61</v>
      </c>
      <c r="B75" t="s">
        <v>61</v>
      </c>
      <c r="C75">
        <v>0</v>
      </c>
    </row>
    <row r="76" spans="1:3">
      <c r="A76" t="s">
        <v>62</v>
      </c>
      <c r="B76" t="s">
        <v>62</v>
      </c>
      <c r="C76">
        <v>7.4906367041198286E-3</v>
      </c>
    </row>
    <row r="77" spans="1:3">
      <c r="A77" t="s">
        <v>63</v>
      </c>
      <c r="B77" t="s">
        <v>63</v>
      </c>
      <c r="C77">
        <v>0.35</v>
      </c>
    </row>
    <row r="78" spans="1:3">
      <c r="A78" t="s">
        <v>64</v>
      </c>
      <c r="B78" t="s">
        <v>64</v>
      </c>
      <c r="C78">
        <v>1</v>
      </c>
    </row>
    <row r="79" spans="1:3">
      <c r="A79" t="s">
        <v>65</v>
      </c>
      <c r="B79" t="s">
        <v>65</v>
      </c>
      <c r="C79">
        <v>1</v>
      </c>
    </row>
    <row r="80" spans="1:3">
      <c r="A80" t="s">
        <v>66</v>
      </c>
      <c r="B80" t="s">
        <v>66</v>
      </c>
      <c r="C80">
        <v>1</v>
      </c>
    </row>
    <row r="81" spans="1:3">
      <c r="A81" t="s">
        <v>67</v>
      </c>
      <c r="B81" t="s">
        <v>67</v>
      </c>
      <c r="C81">
        <v>0.89983375527426235</v>
      </c>
    </row>
    <row r="82" spans="1:3">
      <c r="A82" t="s">
        <v>68</v>
      </c>
      <c r="B82" t="s">
        <v>68</v>
      </c>
      <c r="C82">
        <v>2.4014798938163717E-2</v>
      </c>
    </row>
    <row r="83" spans="1:3">
      <c r="A83" t="s">
        <v>69</v>
      </c>
      <c r="B83" t="s">
        <v>69</v>
      </c>
      <c r="C83">
        <v>1</v>
      </c>
    </row>
    <row r="84" spans="1:3">
      <c r="A84" t="s">
        <v>70</v>
      </c>
      <c r="B84" t="s">
        <v>526</v>
      </c>
      <c r="C84">
        <v>5.0917413580286244E-2</v>
      </c>
    </row>
    <row r="85" spans="1:3">
      <c r="A85" t="s">
        <v>71</v>
      </c>
      <c r="B85" t="s">
        <v>71</v>
      </c>
      <c r="C85">
        <v>0</v>
      </c>
    </row>
    <row r="86" spans="1:3">
      <c r="A86" t="s">
        <v>72</v>
      </c>
      <c r="B86" t="s">
        <v>72</v>
      </c>
      <c r="C86">
        <v>1.8110462301152274E-2</v>
      </c>
    </row>
    <row r="87" spans="1:3">
      <c r="A87" t="s">
        <v>73</v>
      </c>
      <c r="B87" t="s">
        <v>73</v>
      </c>
      <c r="C87">
        <v>1</v>
      </c>
    </row>
    <row r="88" spans="1:3">
      <c r="A88" t="s">
        <v>74</v>
      </c>
      <c r="B88" t="s">
        <v>74</v>
      </c>
      <c r="C88">
        <v>0.6</v>
      </c>
    </row>
    <row r="89" spans="1:3">
      <c r="A89" t="s">
        <v>75</v>
      </c>
      <c r="B89" t="s">
        <v>75</v>
      </c>
      <c r="C89">
        <v>1</v>
      </c>
    </row>
    <row r="90" spans="1:3">
      <c r="A90" t="s">
        <v>76</v>
      </c>
      <c r="B90" t="s">
        <v>76</v>
      </c>
      <c r="C90">
        <v>1</v>
      </c>
    </row>
    <row r="91" spans="1:3">
      <c r="A91" t="s">
        <v>77</v>
      </c>
      <c r="B91" t="s">
        <v>77</v>
      </c>
      <c r="C91">
        <v>1</v>
      </c>
    </row>
    <row r="92" spans="1:3">
      <c r="A92" t="s">
        <v>78</v>
      </c>
      <c r="B92" t="s">
        <v>78</v>
      </c>
      <c r="C92">
        <v>1</v>
      </c>
    </row>
    <row r="93" spans="1:3">
      <c r="A93" t="s">
        <v>79</v>
      </c>
      <c r="B93" t="s">
        <v>79</v>
      </c>
      <c r="C93">
        <v>0.5</v>
      </c>
    </row>
    <row r="94" spans="1:3">
      <c r="A94" t="s">
        <v>80</v>
      </c>
      <c r="B94" t="s">
        <v>80</v>
      </c>
      <c r="C94">
        <v>1</v>
      </c>
    </row>
    <row r="95" spans="1:3">
      <c r="A95" t="s">
        <v>81</v>
      </c>
      <c r="B95" t="s">
        <v>527</v>
      </c>
      <c r="C95">
        <v>5.0917413580286244E-2</v>
      </c>
    </row>
    <row r="96" spans="1:3">
      <c r="A96" t="s">
        <v>82</v>
      </c>
      <c r="B96" t="s">
        <v>82</v>
      </c>
      <c r="C96">
        <v>0.97000000000000008</v>
      </c>
    </row>
    <row r="97" spans="1:3">
      <c r="A97" t="s">
        <v>83</v>
      </c>
      <c r="B97" t="s">
        <v>83</v>
      </c>
      <c r="C97">
        <v>0</v>
      </c>
    </row>
    <row r="98" spans="1:3">
      <c r="A98" t="s">
        <v>84</v>
      </c>
      <c r="B98" t="s">
        <v>84</v>
      </c>
      <c r="C98">
        <v>0.29032258064516125</v>
      </c>
    </row>
    <row r="99" spans="1:3">
      <c r="A99" t="s">
        <v>85</v>
      </c>
      <c r="B99" t="s">
        <v>85</v>
      </c>
      <c r="C99">
        <v>0.62815364186935085</v>
      </c>
    </row>
    <row r="100" spans="1:3">
      <c r="A100" t="s">
        <v>86</v>
      </c>
      <c r="B100" t="s">
        <v>528</v>
      </c>
      <c r="C100">
        <v>0.54684139644578833</v>
      </c>
    </row>
    <row r="101" spans="1:3">
      <c r="A101" t="s">
        <v>87</v>
      </c>
      <c r="B101" t="s">
        <v>87</v>
      </c>
      <c r="C101">
        <v>1</v>
      </c>
    </row>
    <row r="102" spans="1:3">
      <c r="A102" t="s">
        <v>88</v>
      </c>
      <c r="B102" t="s">
        <v>88</v>
      </c>
      <c r="C102">
        <v>0.32800250862339309</v>
      </c>
    </row>
    <row r="103" spans="1:3">
      <c r="A103" t="s">
        <v>89</v>
      </c>
      <c r="B103" t="s">
        <v>89</v>
      </c>
      <c r="C103">
        <v>0</v>
      </c>
    </row>
    <row r="104" spans="1:3">
      <c r="A104" t="s">
        <v>90</v>
      </c>
      <c r="B104" t="s">
        <v>529</v>
      </c>
      <c r="C104">
        <v>0.49868182362020491</v>
      </c>
    </row>
    <row r="105" spans="1:3">
      <c r="A105" t="s">
        <v>91</v>
      </c>
      <c r="B105" t="s">
        <v>91</v>
      </c>
      <c r="C105">
        <v>6.3469156236201307E-2</v>
      </c>
    </row>
    <row r="106" spans="1:3">
      <c r="A106" t="s">
        <v>92</v>
      </c>
      <c r="B106" t="s">
        <v>92</v>
      </c>
      <c r="C106">
        <v>3.0026148099319194E-2</v>
      </c>
    </row>
    <row r="107" spans="1:3">
      <c r="A107" t="s">
        <v>93</v>
      </c>
      <c r="B107" t="s">
        <v>93</v>
      </c>
      <c r="C107">
        <v>0.6</v>
      </c>
    </row>
    <row r="108" spans="1:3">
      <c r="A108" t="s">
        <v>94</v>
      </c>
      <c r="B108" t="s">
        <v>94</v>
      </c>
      <c r="C108">
        <v>2.3809523809523356E-3</v>
      </c>
    </row>
    <row r="109" spans="1:3">
      <c r="A109" t="s">
        <v>95</v>
      </c>
      <c r="B109" t="s">
        <v>95</v>
      </c>
      <c r="C109">
        <v>0</v>
      </c>
    </row>
    <row r="110" spans="1:3">
      <c r="A110" t="s">
        <v>96</v>
      </c>
      <c r="B110" t="s">
        <v>96</v>
      </c>
      <c r="C110">
        <v>0.19799999999999993</v>
      </c>
    </row>
    <row r="111" spans="1:3">
      <c r="A111" t="s">
        <v>97</v>
      </c>
      <c r="B111" t="s">
        <v>97</v>
      </c>
      <c r="C111">
        <v>1</v>
      </c>
    </row>
    <row r="112" spans="1:3">
      <c r="A112" t="s">
        <v>98</v>
      </c>
      <c r="B112" t="s">
        <v>98</v>
      </c>
      <c r="C112">
        <v>1</v>
      </c>
    </row>
    <row r="113" spans="1:3">
      <c r="A113" t="s">
        <v>99</v>
      </c>
      <c r="B113" t="s">
        <v>99</v>
      </c>
      <c r="C113">
        <v>0</v>
      </c>
    </row>
    <row r="114" spans="1:3">
      <c r="A114" t="s">
        <v>100</v>
      </c>
      <c r="B114" t="s">
        <v>100</v>
      </c>
      <c r="C114">
        <v>1</v>
      </c>
    </row>
    <row r="115" spans="1:3">
      <c r="A115" t="s">
        <v>101</v>
      </c>
      <c r="B115" t="s">
        <v>101</v>
      </c>
      <c r="C115">
        <v>1</v>
      </c>
    </row>
    <row r="116" spans="1:3">
      <c r="A116" t="s">
        <v>102</v>
      </c>
      <c r="B116" t="s">
        <v>102</v>
      </c>
      <c r="C116">
        <v>6.0762499311319863E-2</v>
      </c>
    </row>
    <row r="117" spans="1:3">
      <c r="A117" t="s">
        <v>103</v>
      </c>
      <c r="B117" t="s">
        <v>103</v>
      </c>
      <c r="C117">
        <v>0.85508999999999991</v>
      </c>
    </row>
    <row r="118" spans="1:3">
      <c r="A118" t="s">
        <v>104</v>
      </c>
      <c r="B118" t="s">
        <v>104</v>
      </c>
      <c r="C118">
        <v>1</v>
      </c>
    </row>
    <row r="119" spans="1:3">
      <c r="A119" t="s">
        <v>105</v>
      </c>
      <c r="B119" t="s">
        <v>105</v>
      </c>
      <c r="C119">
        <v>1</v>
      </c>
    </row>
    <row r="120" spans="1:3">
      <c r="A120" t="s">
        <v>106</v>
      </c>
      <c r="B120" t="s">
        <v>106</v>
      </c>
      <c r="C120">
        <v>0.84463216095837812</v>
      </c>
    </row>
    <row r="121" spans="1:3">
      <c r="A121" t="s">
        <v>107</v>
      </c>
      <c r="B121" t="s">
        <v>107</v>
      </c>
      <c r="C121">
        <v>0</v>
      </c>
    </row>
    <row r="122" spans="1:3">
      <c r="A122" t="s">
        <v>108</v>
      </c>
      <c r="B122" t="s">
        <v>108</v>
      </c>
      <c r="C122">
        <v>0.34195600000000004</v>
      </c>
    </row>
    <row r="123" spans="1:3">
      <c r="A123" t="s">
        <v>109</v>
      </c>
      <c r="B123" t="s">
        <v>109</v>
      </c>
      <c r="C123">
        <v>3.1384718054268068E-2</v>
      </c>
    </row>
    <row r="124" spans="1:3">
      <c r="A124" t="s">
        <v>110</v>
      </c>
      <c r="B124" t="s">
        <v>110</v>
      </c>
      <c r="C124">
        <v>1</v>
      </c>
    </row>
    <row r="125" spans="1:3">
      <c r="A125" t="s">
        <v>111</v>
      </c>
      <c r="B125" t="s">
        <v>111</v>
      </c>
      <c r="C125">
        <v>1</v>
      </c>
    </row>
    <row r="126" spans="1:3">
      <c r="A126" t="s">
        <v>112</v>
      </c>
      <c r="B126" t="s">
        <v>112</v>
      </c>
      <c r="C126">
        <v>3.8999999999999986E-2</v>
      </c>
    </row>
    <row r="127" spans="1:3">
      <c r="A127" t="s">
        <v>113</v>
      </c>
      <c r="B127" t="s">
        <v>113</v>
      </c>
      <c r="C127">
        <v>1</v>
      </c>
    </row>
    <row r="128" spans="1:3">
      <c r="A128" t="s">
        <v>114</v>
      </c>
      <c r="B128" t="s">
        <v>114</v>
      </c>
      <c r="C128">
        <v>1</v>
      </c>
    </row>
    <row r="129" spans="1:3">
      <c r="A129" t="s">
        <v>115</v>
      </c>
      <c r="B129" t="s">
        <v>115</v>
      </c>
      <c r="C129">
        <v>6.9333333333333289E-2</v>
      </c>
    </row>
    <row r="130" spans="1:3">
      <c r="A130" t="s">
        <v>116</v>
      </c>
      <c r="B130" t="s">
        <v>116</v>
      </c>
      <c r="C130">
        <v>1</v>
      </c>
    </row>
    <row r="131" spans="1:3">
      <c r="A131" t="s">
        <v>117</v>
      </c>
      <c r="B131" t="s">
        <v>117</v>
      </c>
      <c r="C131">
        <v>1</v>
      </c>
    </row>
    <row r="132" spans="1:3">
      <c r="A132" t="s">
        <v>118</v>
      </c>
      <c r="B132" t="s">
        <v>118</v>
      </c>
      <c r="C132">
        <v>1</v>
      </c>
    </row>
    <row r="133" spans="1:3">
      <c r="A133" t="s">
        <v>119</v>
      </c>
      <c r="B133" t="s">
        <v>119</v>
      </c>
      <c r="C133">
        <v>0.62096308591836991</v>
      </c>
    </row>
    <row r="134" spans="1:3">
      <c r="A134" t="s">
        <v>120</v>
      </c>
      <c r="B134" t="s">
        <v>120</v>
      </c>
      <c r="C134">
        <v>1</v>
      </c>
    </row>
    <row r="135" spans="1:3">
      <c r="A135" t="s">
        <v>121</v>
      </c>
      <c r="B135" t="s">
        <v>121</v>
      </c>
      <c r="C135">
        <v>0.49238675446165875</v>
      </c>
    </row>
    <row r="136" spans="1:3">
      <c r="A136" t="s">
        <v>122</v>
      </c>
      <c r="B136" t="s">
        <v>530</v>
      </c>
      <c r="C136">
        <v>0.49868182362020491</v>
      </c>
    </row>
    <row r="137" spans="1:3">
      <c r="A137" t="s">
        <v>123</v>
      </c>
      <c r="B137" t="s">
        <v>123</v>
      </c>
      <c r="C137">
        <v>0</v>
      </c>
    </row>
    <row r="138" spans="1:3">
      <c r="A138" t="s">
        <v>124</v>
      </c>
      <c r="B138" t="s">
        <v>124</v>
      </c>
      <c r="C138">
        <v>1</v>
      </c>
    </row>
    <row r="139" spans="1:3">
      <c r="A139" t="s">
        <v>125</v>
      </c>
      <c r="B139" t="s">
        <v>125</v>
      </c>
      <c r="C139">
        <v>0.710666666666666</v>
      </c>
    </row>
    <row r="140" spans="1:3">
      <c r="A140" t="s">
        <v>126</v>
      </c>
      <c r="B140" t="s">
        <v>126</v>
      </c>
      <c r="C140">
        <v>0</v>
      </c>
    </row>
    <row r="141" spans="1:3">
      <c r="A141" t="s">
        <v>127</v>
      </c>
      <c r="B141" t="s">
        <v>127</v>
      </c>
      <c r="C141">
        <v>0.57413694871109133</v>
      </c>
    </row>
    <row r="142" spans="1:3">
      <c r="A142" t="s">
        <v>128</v>
      </c>
      <c r="B142" t="s">
        <v>128</v>
      </c>
      <c r="C142">
        <v>1</v>
      </c>
    </row>
    <row r="143" spans="1:3">
      <c r="A143" t="s">
        <v>129</v>
      </c>
      <c r="B143" t="s">
        <v>129</v>
      </c>
      <c r="C143">
        <v>1</v>
      </c>
    </row>
    <row r="144" spans="1:3">
      <c r="A144" t="s">
        <v>130</v>
      </c>
      <c r="B144" t="s">
        <v>130</v>
      </c>
      <c r="C144">
        <v>1</v>
      </c>
    </row>
    <row r="145" spans="1:3">
      <c r="A145" t="s">
        <v>131</v>
      </c>
      <c r="B145" t="s">
        <v>131</v>
      </c>
      <c r="C145">
        <v>1</v>
      </c>
    </row>
    <row r="146" spans="1:3">
      <c r="A146" t="s">
        <v>132</v>
      </c>
      <c r="B146" t="s">
        <v>132</v>
      </c>
      <c r="C146">
        <v>1</v>
      </c>
    </row>
    <row r="147" spans="1:3">
      <c r="A147" t="s">
        <v>133</v>
      </c>
      <c r="B147" t="s">
        <v>133</v>
      </c>
      <c r="C147">
        <v>0</v>
      </c>
    </row>
    <row r="148" spans="1:3">
      <c r="A148" t="s">
        <v>134</v>
      </c>
      <c r="B148" t="s">
        <v>531</v>
      </c>
      <c r="C148">
        <v>0.49868182362020491</v>
      </c>
    </row>
    <row r="149" spans="1:3">
      <c r="A149" t="s">
        <v>135</v>
      </c>
      <c r="B149" t="s">
        <v>135</v>
      </c>
      <c r="C149">
        <v>0.18518518518518517</v>
      </c>
    </row>
    <row r="150" spans="1:3">
      <c r="A150" t="s">
        <v>136</v>
      </c>
      <c r="B150" t="s">
        <v>136</v>
      </c>
      <c r="C150">
        <v>0.65999999999999992</v>
      </c>
    </row>
    <row r="151" spans="1:3">
      <c r="A151" t="s">
        <v>137</v>
      </c>
      <c r="B151" t="s">
        <v>137</v>
      </c>
      <c r="C151">
        <v>0.5</v>
      </c>
    </row>
    <row r="152" spans="1:3">
      <c r="A152" t="s">
        <v>138</v>
      </c>
      <c r="B152" t="s">
        <v>138</v>
      </c>
      <c r="C152">
        <v>1</v>
      </c>
    </row>
    <row r="153" spans="1:3">
      <c r="A153" t="s">
        <v>139</v>
      </c>
      <c r="B153" t="s">
        <v>139</v>
      </c>
      <c r="C153">
        <v>1</v>
      </c>
    </row>
    <row r="154" spans="1:3">
      <c r="A154" t="s">
        <v>140</v>
      </c>
      <c r="B154" t="s">
        <v>140</v>
      </c>
      <c r="C154">
        <v>1</v>
      </c>
    </row>
    <row r="155" spans="1:3">
      <c r="A155" t="s">
        <v>141</v>
      </c>
      <c r="B155" t="s">
        <v>141</v>
      </c>
      <c r="C155">
        <v>0.23322684934584351</v>
      </c>
    </row>
    <row r="156" spans="1:3">
      <c r="A156" t="s">
        <v>142</v>
      </c>
      <c r="B156" t="s">
        <v>142</v>
      </c>
      <c r="C156">
        <v>0</v>
      </c>
    </row>
    <row r="157" spans="1:3">
      <c r="A157" t="s">
        <v>143</v>
      </c>
      <c r="B157" t="s">
        <v>143</v>
      </c>
      <c r="C157">
        <v>1</v>
      </c>
    </row>
    <row r="158" spans="1:3">
      <c r="A158" t="s">
        <v>144</v>
      </c>
      <c r="B158" t="s">
        <v>144</v>
      </c>
      <c r="C158">
        <v>1</v>
      </c>
    </row>
    <row r="159" spans="1:3">
      <c r="A159" t="s">
        <v>145</v>
      </c>
      <c r="B159" t="s">
        <v>145</v>
      </c>
      <c r="C159">
        <v>0.81699999999999995</v>
      </c>
    </row>
    <row r="160" spans="1:3">
      <c r="A160" t="s">
        <v>146</v>
      </c>
      <c r="B160" t="s">
        <v>146</v>
      </c>
      <c r="C160">
        <v>0.436</v>
      </c>
    </row>
    <row r="161" spans="1:3">
      <c r="A161" t="s">
        <v>147</v>
      </c>
      <c r="B161" t="s">
        <v>147</v>
      </c>
      <c r="C161">
        <v>0.91999999999999993</v>
      </c>
    </row>
    <row r="162" spans="1:3">
      <c r="A162" t="s">
        <v>148</v>
      </c>
      <c r="B162" t="s">
        <v>148</v>
      </c>
      <c r="C162">
        <v>0.63086373474039226</v>
      </c>
    </row>
    <row r="163" spans="1:3">
      <c r="A163" t="s">
        <v>149</v>
      </c>
      <c r="B163" t="s">
        <v>149</v>
      </c>
      <c r="C163">
        <v>1</v>
      </c>
    </row>
    <row r="164" spans="1:3">
      <c r="A164" t="s">
        <v>150</v>
      </c>
      <c r="B164" t="s">
        <v>150</v>
      </c>
      <c r="C164">
        <v>0</v>
      </c>
    </row>
    <row r="165" spans="1:3">
      <c r="A165" t="s">
        <v>151</v>
      </c>
      <c r="B165" t="s">
        <v>151</v>
      </c>
      <c r="C165">
        <v>0.31146768035298772</v>
      </c>
    </row>
    <row r="166" spans="1:3">
      <c r="A166" t="s">
        <v>152</v>
      </c>
      <c r="B166" t="s">
        <v>152</v>
      </c>
      <c r="C166">
        <v>0.67490839120190171</v>
      </c>
    </row>
    <row r="167" spans="1:3">
      <c r="A167" t="s">
        <v>153</v>
      </c>
      <c r="B167" t="s">
        <v>153</v>
      </c>
      <c r="C167">
        <v>0</v>
      </c>
    </row>
    <row r="168" spans="1:3">
      <c r="A168" t="s">
        <v>154</v>
      </c>
      <c r="B168" t="s">
        <v>154</v>
      </c>
      <c r="C168">
        <v>0</v>
      </c>
    </row>
    <row r="169" spans="1:3">
      <c r="A169" t="s">
        <v>155</v>
      </c>
      <c r="B169" t="s">
        <v>155</v>
      </c>
      <c r="C169">
        <v>1</v>
      </c>
    </row>
    <row r="170" spans="1:3">
      <c r="A170" t="s">
        <v>156</v>
      </c>
      <c r="B170" t="s">
        <v>156</v>
      </c>
      <c r="C170">
        <v>1</v>
      </c>
    </row>
    <row r="171" spans="1:3">
      <c r="A171" t="s">
        <v>157</v>
      </c>
      <c r="B171" t="s">
        <v>157</v>
      </c>
      <c r="C171">
        <v>0.15073446734082599</v>
      </c>
    </row>
    <row r="172" spans="1:3">
      <c r="A172" t="s">
        <v>158</v>
      </c>
      <c r="B172" t="s">
        <v>158</v>
      </c>
      <c r="C172">
        <v>1</v>
      </c>
    </row>
    <row r="173" spans="1:3">
      <c r="A173" t="s">
        <v>159</v>
      </c>
      <c r="B173" t="s">
        <v>159</v>
      </c>
      <c r="C173">
        <v>0.26299999999999996</v>
      </c>
    </row>
    <row r="174" spans="1:3">
      <c r="A174" t="s">
        <v>160</v>
      </c>
      <c r="B174" t="s">
        <v>160</v>
      </c>
      <c r="C174">
        <v>1</v>
      </c>
    </row>
    <row r="175" spans="1:3">
      <c r="A175" t="s">
        <v>161</v>
      </c>
      <c r="B175" t="s">
        <v>532</v>
      </c>
      <c r="C175">
        <v>0.49868182362020491</v>
      </c>
    </row>
    <row r="176" spans="1:3">
      <c r="A176" t="s">
        <v>162</v>
      </c>
      <c r="B176" t="s">
        <v>162</v>
      </c>
      <c r="C176">
        <v>0.53999999999999992</v>
      </c>
    </row>
    <row r="177" spans="1:3">
      <c r="A177" t="s">
        <v>163</v>
      </c>
      <c r="B177" t="s">
        <v>533</v>
      </c>
      <c r="C177">
        <v>7.4906367041198286E-3</v>
      </c>
    </row>
    <row r="178" spans="1:3">
      <c r="A178" t="s">
        <v>164</v>
      </c>
      <c r="B178" t="s">
        <v>164</v>
      </c>
      <c r="C178">
        <v>1</v>
      </c>
    </row>
    <row r="179" spans="1:3">
      <c r="A179" t="s">
        <v>165</v>
      </c>
      <c r="B179" t="s">
        <v>165</v>
      </c>
      <c r="C179">
        <v>1</v>
      </c>
    </row>
    <row r="180" spans="1:3">
      <c r="A180" t="s">
        <v>166</v>
      </c>
      <c r="B180" t="s">
        <v>166</v>
      </c>
      <c r="C180">
        <v>0.17209999999999986</v>
      </c>
    </row>
    <row r="181" spans="1:3">
      <c r="A181" t="s">
        <v>167</v>
      </c>
      <c r="B181" t="s">
        <v>167</v>
      </c>
      <c r="C181">
        <v>1</v>
      </c>
    </row>
    <row r="182" spans="1:3">
      <c r="A182" t="s">
        <v>168</v>
      </c>
      <c r="B182" t="s">
        <v>168</v>
      </c>
      <c r="C182">
        <v>0</v>
      </c>
    </row>
    <row r="183" spans="1:3">
      <c r="A183" t="s">
        <v>169</v>
      </c>
      <c r="B183" t="s">
        <v>169</v>
      </c>
      <c r="C183">
        <v>0.49999999999999994</v>
      </c>
    </row>
    <row r="184" spans="1:3">
      <c r="A184" t="s">
        <v>170</v>
      </c>
      <c r="B184" t="s">
        <v>170</v>
      </c>
      <c r="C184">
        <v>0.92382867857142847</v>
      </c>
    </row>
    <row r="185" spans="1:3">
      <c r="A185" t="s">
        <v>171</v>
      </c>
      <c r="B185" t="s">
        <v>171</v>
      </c>
      <c r="C185">
        <v>1</v>
      </c>
    </row>
    <row r="186" spans="1:3">
      <c r="A186" t="s">
        <v>172</v>
      </c>
      <c r="B186" t="s">
        <v>172</v>
      </c>
      <c r="C186">
        <v>1</v>
      </c>
    </row>
    <row r="187" spans="1:3">
      <c r="A187" t="s">
        <v>173</v>
      </c>
      <c r="B187" t="s">
        <v>173</v>
      </c>
      <c r="C187">
        <v>0</v>
      </c>
    </row>
    <row r="188" spans="1:3">
      <c r="A188" t="s">
        <v>174</v>
      </c>
      <c r="B188" t="s">
        <v>174</v>
      </c>
      <c r="C188">
        <v>1</v>
      </c>
    </row>
    <row r="189" spans="1:3">
      <c r="A189" t="s">
        <v>175</v>
      </c>
      <c r="B189" t="s">
        <v>175</v>
      </c>
      <c r="C189">
        <v>3.0000000000000002E-2</v>
      </c>
    </row>
    <row r="190" spans="1:3">
      <c r="A190" t="s">
        <v>176</v>
      </c>
      <c r="B190" t="s">
        <v>176</v>
      </c>
      <c r="C190">
        <v>0</v>
      </c>
    </row>
    <row r="191" spans="1:3">
      <c r="A191" t="s">
        <v>177</v>
      </c>
      <c r="B191" t="s">
        <v>534</v>
      </c>
      <c r="C191">
        <v>0.49868182362020491</v>
      </c>
    </row>
    <row r="192" spans="1:3">
      <c r="A192" t="s">
        <v>178</v>
      </c>
      <c r="B192" t="s">
        <v>178</v>
      </c>
      <c r="C192">
        <v>0.49999999999999983</v>
      </c>
    </row>
    <row r="193" spans="1:3">
      <c r="A193" t="s">
        <v>179</v>
      </c>
      <c r="B193" t="s">
        <v>179</v>
      </c>
      <c r="C193">
        <v>1</v>
      </c>
    </row>
    <row r="194" spans="1:3">
      <c r="A194" t="s">
        <v>180</v>
      </c>
      <c r="B194" t="s">
        <v>180</v>
      </c>
      <c r="C194">
        <v>1</v>
      </c>
    </row>
    <row r="195" spans="1:3">
      <c r="A195" t="s">
        <v>181</v>
      </c>
      <c r="B195" t="s">
        <v>181</v>
      </c>
      <c r="C195">
        <v>2.4560716190984593E-2</v>
      </c>
    </row>
    <row r="196" spans="1:3">
      <c r="A196" t="s">
        <v>182</v>
      </c>
      <c r="B196" t="s">
        <v>182</v>
      </c>
      <c r="C196">
        <v>1</v>
      </c>
    </row>
    <row r="197" spans="1:3">
      <c r="A197" t="s">
        <v>183</v>
      </c>
      <c r="B197" t="s">
        <v>183</v>
      </c>
      <c r="C197">
        <v>1</v>
      </c>
    </row>
    <row r="198" spans="1:3">
      <c r="A198" t="s">
        <v>184</v>
      </c>
      <c r="B198" t="s">
        <v>184</v>
      </c>
      <c r="C198">
        <v>0.999</v>
      </c>
    </row>
    <row r="199" spans="1:3">
      <c r="A199" t="s">
        <v>185</v>
      </c>
      <c r="B199" t="s">
        <v>185</v>
      </c>
      <c r="C199">
        <v>0.49699999999999994</v>
      </c>
    </row>
    <row r="200" spans="1:3">
      <c r="A200" t="s">
        <v>186</v>
      </c>
      <c r="B200" t="s">
        <v>186</v>
      </c>
      <c r="C200">
        <v>0</v>
      </c>
    </row>
    <row r="201" spans="1:3">
      <c r="A201" t="s">
        <v>187</v>
      </c>
      <c r="B201" t="s">
        <v>187</v>
      </c>
      <c r="C201">
        <v>0</v>
      </c>
    </row>
    <row r="202" spans="1:3">
      <c r="A202" t="s">
        <v>188</v>
      </c>
      <c r="B202" t="s">
        <v>188</v>
      </c>
      <c r="C202">
        <v>1</v>
      </c>
    </row>
    <row r="203" spans="1:3">
      <c r="A203" t="s">
        <v>189</v>
      </c>
      <c r="B203" t="s">
        <v>189</v>
      </c>
      <c r="C203">
        <v>1</v>
      </c>
    </row>
    <row r="204" spans="1:3">
      <c r="A204" t="s">
        <v>190</v>
      </c>
      <c r="B204" t="s">
        <v>190</v>
      </c>
      <c r="C204">
        <v>1</v>
      </c>
    </row>
    <row r="205" spans="1:3">
      <c r="A205" t="s">
        <v>191</v>
      </c>
      <c r="B205" t="s">
        <v>191</v>
      </c>
      <c r="C205">
        <v>1</v>
      </c>
    </row>
    <row r="206" spans="1:3">
      <c r="A206" t="s">
        <v>192</v>
      </c>
      <c r="B206" t="s">
        <v>192</v>
      </c>
      <c r="C206">
        <v>1</v>
      </c>
    </row>
    <row r="207" spans="1:3">
      <c r="A207" t="s">
        <v>193</v>
      </c>
      <c r="B207" t="s">
        <v>193</v>
      </c>
      <c r="C207">
        <v>1</v>
      </c>
    </row>
    <row r="208" spans="1:3">
      <c r="A208" t="s">
        <v>194</v>
      </c>
      <c r="B208" t="s">
        <v>535</v>
      </c>
      <c r="C208">
        <v>0.49868182362020491</v>
      </c>
    </row>
    <row r="209" spans="1:3">
      <c r="A209" t="s">
        <v>195</v>
      </c>
      <c r="B209" t="s">
        <v>536</v>
      </c>
      <c r="C209">
        <v>0.49868182362020491</v>
      </c>
    </row>
    <row r="210" spans="1:3">
      <c r="A210" t="s">
        <v>196</v>
      </c>
      <c r="B210" t="s">
        <v>196</v>
      </c>
      <c r="C210">
        <v>0.34999999999999981</v>
      </c>
    </row>
    <row r="211" spans="1:3">
      <c r="A211" t="s">
        <v>197</v>
      </c>
      <c r="B211" t="s">
        <v>197</v>
      </c>
      <c r="C211">
        <v>3.4205913181074209E-2</v>
      </c>
    </row>
    <row r="212" spans="1:3">
      <c r="A212" t="s">
        <v>198</v>
      </c>
      <c r="B212" t="s">
        <v>198</v>
      </c>
      <c r="C212">
        <v>0.54781967213114968</v>
      </c>
    </row>
    <row r="213" spans="1:3">
      <c r="A213" t="s">
        <v>199</v>
      </c>
      <c r="B213" t="s">
        <v>199</v>
      </c>
      <c r="C213">
        <v>1</v>
      </c>
    </row>
    <row r="214" spans="1:3">
      <c r="A214" t="s">
        <v>200</v>
      </c>
      <c r="B214" t="s">
        <v>200</v>
      </c>
      <c r="C214">
        <v>1</v>
      </c>
    </row>
    <row r="215" spans="1:3">
      <c r="A215" t="s">
        <v>201</v>
      </c>
      <c r="B215" t="s">
        <v>201</v>
      </c>
      <c r="C215">
        <v>1</v>
      </c>
    </row>
    <row r="216" spans="1:3">
      <c r="A216" t="s">
        <v>202</v>
      </c>
      <c r="B216" t="s">
        <v>202</v>
      </c>
      <c r="C216">
        <v>0.57821917808218126</v>
      </c>
    </row>
    <row r="217" spans="1:3">
      <c r="A217" t="s">
        <v>203</v>
      </c>
      <c r="B217" t="s">
        <v>203</v>
      </c>
      <c r="C217">
        <v>1</v>
      </c>
    </row>
    <row r="218" spans="1:3">
      <c r="A218" t="s">
        <v>204</v>
      </c>
      <c r="B218" t="s">
        <v>204</v>
      </c>
      <c r="C218">
        <v>8.6356535323726599E-3</v>
      </c>
    </row>
    <row r="219" spans="1:3">
      <c r="A219" t="s">
        <v>205</v>
      </c>
      <c r="B219" t="s">
        <v>205</v>
      </c>
      <c r="C219">
        <v>3.4399724802204861E-4</v>
      </c>
    </row>
    <row r="220" spans="1:3">
      <c r="A220" t="s">
        <v>206</v>
      </c>
      <c r="B220" t="s">
        <v>206</v>
      </c>
      <c r="C220">
        <v>0.25149999999999995</v>
      </c>
    </row>
    <row r="221" spans="1:3">
      <c r="A221" t="s">
        <v>207</v>
      </c>
      <c r="B221" t="s">
        <v>207</v>
      </c>
      <c r="C221">
        <v>1</v>
      </c>
    </row>
    <row r="222" spans="1:3">
      <c r="A222" t="s">
        <v>208</v>
      </c>
      <c r="B222" t="s">
        <v>208</v>
      </c>
      <c r="C222">
        <v>1.7967659616890203E-2</v>
      </c>
    </row>
    <row r="223" spans="1:3">
      <c r="A223" t="s">
        <v>209</v>
      </c>
      <c r="B223" t="s">
        <v>209</v>
      </c>
      <c r="C223">
        <v>0.22999999999999998</v>
      </c>
    </row>
    <row r="224" spans="1:3">
      <c r="A224" t="s">
        <v>210</v>
      </c>
      <c r="B224" t="s">
        <v>210</v>
      </c>
      <c r="C224">
        <v>1</v>
      </c>
    </row>
    <row r="225" spans="1:3">
      <c r="A225" t="s">
        <v>211</v>
      </c>
      <c r="B225" t="s">
        <v>211</v>
      </c>
      <c r="C225">
        <v>1</v>
      </c>
    </row>
    <row r="226" spans="1:3">
      <c r="A226" t="s">
        <v>212</v>
      </c>
      <c r="B226" t="s">
        <v>212</v>
      </c>
      <c r="C226">
        <v>0.89999999999999991</v>
      </c>
    </row>
    <row r="227" spans="1:3">
      <c r="A227" t="s">
        <v>213</v>
      </c>
      <c r="B227" t="s">
        <v>213</v>
      </c>
      <c r="C227">
        <v>1</v>
      </c>
    </row>
    <row r="228" spans="1:3">
      <c r="A228" t="s">
        <v>214</v>
      </c>
      <c r="B228" t="s">
        <v>537</v>
      </c>
      <c r="C228">
        <v>0.49868182362020491</v>
      </c>
    </row>
    <row r="229" spans="1:3">
      <c r="A229" t="s">
        <v>215</v>
      </c>
      <c r="B229" t="s">
        <v>215</v>
      </c>
      <c r="C229">
        <v>0.25765130391996072</v>
      </c>
    </row>
    <row r="230" spans="1:3">
      <c r="A230" t="s">
        <v>216</v>
      </c>
      <c r="B230" t="s">
        <v>538</v>
      </c>
      <c r="C230">
        <v>1</v>
      </c>
    </row>
    <row r="231" spans="1:3">
      <c r="A231" t="s">
        <v>217</v>
      </c>
      <c r="B231" t="s">
        <v>217</v>
      </c>
      <c r="C231">
        <v>0.68175305886348947</v>
      </c>
    </row>
    <row r="232" spans="1:3">
      <c r="A232" t="s">
        <v>218</v>
      </c>
      <c r="B232" t="s">
        <v>218</v>
      </c>
      <c r="C232">
        <v>1</v>
      </c>
    </row>
    <row r="233" spans="1:3">
      <c r="A233" t="s">
        <v>219</v>
      </c>
      <c r="B233" t="s">
        <v>219</v>
      </c>
      <c r="C233">
        <v>1</v>
      </c>
    </row>
    <row r="234" spans="1:3">
      <c r="A234" t="s">
        <v>220</v>
      </c>
      <c r="B234" t="s">
        <v>220</v>
      </c>
      <c r="C234">
        <v>0.220236286607566</v>
      </c>
    </row>
    <row r="235" spans="1:3">
      <c r="A235" t="s">
        <v>221</v>
      </c>
      <c r="B235" t="s">
        <v>221</v>
      </c>
      <c r="C235">
        <v>0.70173844086604298</v>
      </c>
    </row>
    <row r="236" spans="1:3">
      <c r="A236" t="s">
        <v>222</v>
      </c>
      <c r="B236" t="s">
        <v>222</v>
      </c>
      <c r="C236">
        <v>0.14474224947414427</v>
      </c>
    </row>
    <row r="237" spans="1:3">
      <c r="A237" t="s">
        <v>223</v>
      </c>
      <c r="B237" t="s">
        <v>223</v>
      </c>
      <c r="C237">
        <v>0.62828949869314421</v>
      </c>
    </row>
    <row r="238" spans="1:3">
      <c r="A238" t="s">
        <v>224</v>
      </c>
      <c r="B238" t="s">
        <v>224</v>
      </c>
      <c r="C238">
        <v>5.0917413580286244E-2</v>
      </c>
    </row>
    <row r="239" spans="1:3">
      <c r="A239" t="s">
        <v>225</v>
      </c>
      <c r="B239" t="s">
        <v>225</v>
      </c>
      <c r="C239">
        <v>0.54684139644578833</v>
      </c>
    </row>
    <row r="240" spans="1:3">
      <c r="A240" t="s">
        <v>226</v>
      </c>
      <c r="B240" t="s">
        <v>226</v>
      </c>
      <c r="C240">
        <v>1</v>
      </c>
    </row>
    <row r="241" spans="1:3">
      <c r="A241" t="s">
        <v>227</v>
      </c>
      <c r="B241" t="s">
        <v>227</v>
      </c>
      <c r="C241">
        <v>0.41328147989965758</v>
      </c>
    </row>
    <row r="242" spans="1:3">
      <c r="A242" t="s">
        <v>228</v>
      </c>
      <c r="B242" t="s">
        <v>228</v>
      </c>
      <c r="C242">
        <v>1</v>
      </c>
    </row>
    <row r="243" spans="1:3">
      <c r="A243" t="s">
        <v>229</v>
      </c>
      <c r="B243" t="s">
        <v>229</v>
      </c>
      <c r="C243">
        <v>0.41315395503910085</v>
      </c>
    </row>
    <row r="244" spans="1:3">
      <c r="A244" t="s">
        <v>230</v>
      </c>
      <c r="B244" t="s">
        <v>230</v>
      </c>
      <c r="C244">
        <v>0.49868182362020491</v>
      </c>
    </row>
    <row r="245" spans="1:3">
      <c r="A245" t="s">
        <v>231</v>
      </c>
      <c r="B245" t="s">
        <v>231</v>
      </c>
      <c r="C245">
        <v>0.26791742642464067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63"/>
  <sheetViews>
    <sheetView topLeftCell="AA226" workbookViewId="0">
      <selection activeCell="AT9" sqref="AT9:AU252"/>
    </sheetView>
  </sheetViews>
  <sheetFormatPr defaultColWidth="9.47265625" defaultRowHeight="14.4"/>
  <cols>
    <col min="2" max="2" width="9.05078125" customWidth="1"/>
    <col min="3" max="3" width="48.15625" customWidth="1"/>
    <col min="5" max="22" width="9.05078125" customWidth="1"/>
    <col min="23" max="23" width="9.05078125" style="7" customWidth="1"/>
    <col min="24" max="44" width="9.05078125" customWidth="1"/>
    <col min="45" max="45" width="9.05078125" style="107" customWidth="1"/>
  </cols>
  <sheetData>
    <row r="1" spans="1:47" ht="18.3">
      <c r="B1" s="4"/>
      <c r="C1" s="4"/>
      <c r="D1" s="5"/>
      <c r="E1" s="5"/>
      <c r="F1" s="5"/>
      <c r="G1" s="5"/>
      <c r="H1" s="5"/>
      <c r="I1" s="6"/>
      <c r="L1" s="5"/>
      <c r="M1" s="5"/>
    </row>
    <row r="2" spans="1:47" ht="18.3">
      <c r="B2" s="4"/>
      <c r="C2" s="4"/>
      <c r="D2" s="5"/>
      <c r="E2" s="5"/>
      <c r="F2" s="5"/>
      <c r="G2" s="5"/>
      <c r="H2" s="5"/>
      <c r="I2" s="8"/>
      <c r="J2" s="9"/>
      <c r="L2" s="5"/>
      <c r="M2" s="5"/>
    </row>
    <row r="3" spans="1:47" ht="20.399999999999999">
      <c r="B3" s="1" t="s">
        <v>232</v>
      </c>
      <c r="G3" s="10"/>
      <c r="I3" s="11"/>
      <c r="L3" s="12"/>
      <c r="M3" s="12"/>
    </row>
    <row r="4" spans="1:47" ht="9.75" customHeight="1">
      <c r="B4" s="2"/>
      <c r="I4" s="13"/>
      <c r="J4" s="14"/>
      <c r="K4" s="14"/>
      <c r="M4" s="14"/>
    </row>
    <row r="5" spans="1:47">
      <c r="B5" s="3" t="s">
        <v>233</v>
      </c>
    </row>
    <row r="6" spans="1:47" ht="15.75" customHeight="1">
      <c r="B6" s="113" t="s">
        <v>234</v>
      </c>
      <c r="C6" s="114" t="s">
        <v>235</v>
      </c>
      <c r="D6" s="115" t="s">
        <v>236</v>
      </c>
      <c r="E6" s="15" t="s">
        <v>237</v>
      </c>
      <c r="F6" s="16"/>
      <c r="G6" s="16"/>
      <c r="H6" s="16"/>
      <c r="I6" s="16"/>
      <c r="J6" s="17"/>
      <c r="K6" s="18" t="s">
        <v>238</v>
      </c>
      <c r="L6" s="19"/>
      <c r="M6" s="19"/>
      <c r="N6" s="19"/>
      <c r="O6" s="19"/>
      <c r="P6" s="20"/>
      <c r="Q6" s="21" t="s">
        <v>239</v>
      </c>
      <c r="R6" s="22"/>
      <c r="S6" s="22"/>
      <c r="T6" s="22"/>
      <c r="U6" s="22"/>
      <c r="V6" s="22"/>
      <c r="W6" s="23"/>
      <c r="X6" s="24"/>
      <c r="Y6" s="25"/>
      <c r="Z6" s="25"/>
      <c r="AA6" s="25" t="s">
        <v>240</v>
      </c>
      <c r="AB6" s="25"/>
      <c r="AC6" s="25"/>
      <c r="AD6" s="26"/>
      <c r="AE6" s="27"/>
      <c r="AF6" s="28"/>
      <c r="AG6" s="28"/>
      <c r="AH6" s="28" t="s">
        <v>241</v>
      </c>
      <c r="AI6" s="28"/>
      <c r="AJ6" s="28"/>
      <c r="AK6" s="29"/>
      <c r="AL6" s="30"/>
      <c r="AM6" s="31"/>
      <c r="AN6" s="31"/>
      <c r="AO6" s="31" t="s">
        <v>242</v>
      </c>
      <c r="AP6" s="31"/>
      <c r="AQ6" s="31"/>
      <c r="AR6" s="32"/>
      <c r="AS6" s="108"/>
    </row>
    <row r="7" spans="1:47" ht="36" customHeight="1">
      <c r="B7" s="113"/>
      <c r="C7" s="114"/>
      <c r="D7" s="115"/>
      <c r="E7" s="33"/>
      <c r="F7" s="34"/>
      <c r="G7" s="34"/>
      <c r="H7" s="34"/>
      <c r="I7" s="34"/>
      <c r="J7" s="35"/>
      <c r="K7" s="36"/>
      <c r="L7" s="37"/>
      <c r="M7" s="37"/>
      <c r="N7" s="37"/>
      <c r="O7" s="37"/>
      <c r="P7" s="38"/>
      <c r="Q7" s="39"/>
      <c r="R7" s="40"/>
      <c r="S7" s="40"/>
      <c r="T7" s="40"/>
      <c r="U7" s="40"/>
      <c r="V7" s="40"/>
      <c r="W7" s="41"/>
      <c r="X7" s="42" t="s">
        <v>243</v>
      </c>
      <c r="Y7" s="43"/>
      <c r="Z7" s="43"/>
      <c r="AA7" s="43"/>
      <c r="AB7" s="43"/>
      <c r="AC7" s="43"/>
      <c r="AD7" s="44"/>
      <c r="AE7" s="45" t="s">
        <v>243</v>
      </c>
      <c r="AF7" s="46"/>
      <c r="AG7" s="46"/>
      <c r="AH7" s="46"/>
      <c r="AI7" s="46"/>
      <c r="AJ7" s="46"/>
      <c r="AK7" s="47"/>
      <c r="AL7" s="48" t="s">
        <v>243</v>
      </c>
      <c r="AM7" s="49"/>
      <c r="AN7" s="49"/>
      <c r="AO7" s="49"/>
      <c r="AP7" s="49"/>
      <c r="AQ7" s="49"/>
      <c r="AR7" s="50"/>
      <c r="AS7" s="109"/>
    </row>
    <row r="8" spans="1:47" ht="127.5" customHeight="1">
      <c r="A8" t="s">
        <v>512</v>
      </c>
      <c r="B8" s="113" t="s">
        <v>234</v>
      </c>
      <c r="C8" s="114" t="s">
        <v>235</v>
      </c>
      <c r="D8" s="115" t="s">
        <v>236</v>
      </c>
      <c r="E8" s="51" t="s">
        <v>244</v>
      </c>
      <c r="F8" s="52" t="s">
        <v>245</v>
      </c>
      <c r="G8" s="53" t="s">
        <v>246</v>
      </c>
      <c r="H8" s="54" t="s">
        <v>247</v>
      </c>
      <c r="I8" s="55" t="s">
        <v>248</v>
      </c>
      <c r="J8" s="55" t="s">
        <v>249</v>
      </c>
      <c r="K8" s="51" t="s">
        <v>244</v>
      </c>
      <c r="L8" s="52" t="s">
        <v>245</v>
      </c>
      <c r="M8" s="53" t="s">
        <v>246</v>
      </c>
      <c r="N8" s="54" t="s">
        <v>247</v>
      </c>
      <c r="O8" s="55" t="s">
        <v>248</v>
      </c>
      <c r="P8" s="55" t="s">
        <v>249</v>
      </c>
      <c r="Q8" s="51" t="s">
        <v>244</v>
      </c>
      <c r="R8" s="52" t="s">
        <v>245</v>
      </c>
      <c r="S8" s="53" t="s">
        <v>246</v>
      </c>
      <c r="T8" s="54" t="s">
        <v>247</v>
      </c>
      <c r="U8" s="55" t="s">
        <v>248</v>
      </c>
      <c r="V8" s="55" t="s">
        <v>249</v>
      </c>
      <c r="W8" s="56"/>
      <c r="X8" s="57" t="s">
        <v>250</v>
      </c>
      <c r="Y8" s="58" t="s">
        <v>251</v>
      </c>
      <c r="Z8" s="58" t="s">
        <v>252</v>
      </c>
      <c r="AA8" s="58" t="s">
        <v>253</v>
      </c>
      <c r="AB8" s="51" t="s">
        <v>254</v>
      </c>
      <c r="AC8" s="51" t="s">
        <v>255</v>
      </c>
      <c r="AD8" s="51" t="s">
        <v>256</v>
      </c>
      <c r="AE8" s="57" t="s">
        <v>250</v>
      </c>
      <c r="AF8" s="58" t="s">
        <v>251</v>
      </c>
      <c r="AG8" s="58" t="s">
        <v>252</v>
      </c>
      <c r="AH8" s="58" t="s">
        <v>253</v>
      </c>
      <c r="AI8" s="51" t="s">
        <v>254</v>
      </c>
      <c r="AJ8" s="51" t="s">
        <v>255</v>
      </c>
      <c r="AK8" s="51" t="s">
        <v>256</v>
      </c>
      <c r="AL8" s="57" t="s">
        <v>250</v>
      </c>
      <c r="AM8" s="58" t="s">
        <v>251</v>
      </c>
      <c r="AN8" s="58" t="s">
        <v>252</v>
      </c>
      <c r="AO8" s="58" t="s">
        <v>253</v>
      </c>
      <c r="AP8" s="51" t="s">
        <v>254</v>
      </c>
      <c r="AQ8" s="51" t="s">
        <v>255</v>
      </c>
      <c r="AR8" s="51" t="s">
        <v>256</v>
      </c>
      <c r="AS8" s="110"/>
      <c r="AT8" s="106" t="s">
        <v>511</v>
      </c>
    </row>
    <row r="9" spans="1:47">
      <c r="A9">
        <v>2</v>
      </c>
      <c r="B9" s="72" t="s">
        <v>257</v>
      </c>
      <c r="C9" s="73" t="s">
        <v>258</v>
      </c>
      <c r="D9" s="73">
        <v>2015</v>
      </c>
      <c r="E9" s="59">
        <v>39.220433250019973</v>
      </c>
      <c r="F9" s="60">
        <v>9.4152628986825828</v>
      </c>
      <c r="G9" s="60">
        <v>37.817933809876934</v>
      </c>
      <c r="H9" s="61">
        <v>13.54637004142052</v>
      </c>
      <c r="I9" s="62">
        <v>1.0214607715606689</v>
      </c>
      <c r="J9" s="63">
        <v>-0.86218416690826416</v>
      </c>
      <c r="K9" s="64">
        <v>32.959990974178012</v>
      </c>
      <c r="L9" s="60">
        <v>5.1826674152887451</v>
      </c>
      <c r="M9" s="65">
        <v>43.375862093744672</v>
      </c>
      <c r="N9" s="61">
        <v>18.481479516788571</v>
      </c>
      <c r="O9" s="63">
        <v>0.73750555515289307</v>
      </c>
      <c r="P9" s="63">
        <v>-0.87179231643676758</v>
      </c>
      <c r="Q9" s="74">
        <v>56.404706084247877</v>
      </c>
      <c r="R9" s="66">
        <v>21.03330398568847</v>
      </c>
      <c r="S9" s="66">
        <v>22.56198993006365</v>
      </c>
      <c r="T9" s="67">
        <v>0</v>
      </c>
      <c r="U9" s="68">
        <v>1.6736299991607666</v>
      </c>
      <c r="V9" s="68">
        <v>-0.51280242204666138</v>
      </c>
      <c r="W9" s="69"/>
      <c r="X9" s="70">
        <v>0</v>
      </c>
      <c r="Y9" s="66">
        <v>0</v>
      </c>
      <c r="Z9" s="66">
        <v>0</v>
      </c>
      <c r="AA9" s="66">
        <v>0</v>
      </c>
      <c r="AB9" s="66">
        <v>29.870463387378429</v>
      </c>
      <c r="AC9" s="66">
        <v>6.6843618022187208</v>
      </c>
      <c r="AD9" s="66">
        <v>2.6656080604228301</v>
      </c>
      <c r="AE9" s="70">
        <v>0</v>
      </c>
      <c r="AF9" s="66">
        <v>0</v>
      </c>
      <c r="AG9" s="66">
        <v>0</v>
      </c>
      <c r="AH9" s="66">
        <v>0</v>
      </c>
      <c r="AI9" s="66">
        <v>30.80584720294031</v>
      </c>
      <c r="AJ9" s="66">
        <v>1.4402068605020659</v>
      </c>
      <c r="AK9" s="66">
        <v>0.71393691073564369</v>
      </c>
      <c r="AL9" s="70">
        <v>0</v>
      </c>
      <c r="AM9" s="66">
        <v>0</v>
      </c>
      <c r="AN9" s="66">
        <v>0</v>
      </c>
      <c r="AO9" s="66">
        <v>0</v>
      </c>
      <c r="AP9" s="66">
        <v>29.762082632468111</v>
      </c>
      <c r="AQ9" s="71">
        <v>19.277930218181819</v>
      </c>
      <c r="AR9" s="71">
        <v>7.3646932335979534</v>
      </c>
      <c r="AS9" s="111"/>
      <c r="AT9">
        <f>(AD9-AA9)/AD9</f>
        <v>1</v>
      </c>
      <c r="AU9" t="str">
        <f t="shared" ref="AU9:AU71" si="0">C9</f>
        <v>Afghanistan</v>
      </c>
    </row>
    <row r="10" spans="1:47">
      <c r="A10">
        <v>4</v>
      </c>
      <c r="B10" s="72" t="s">
        <v>259</v>
      </c>
      <c r="C10" s="73" t="s">
        <v>0</v>
      </c>
      <c r="D10" s="73">
        <v>2015</v>
      </c>
      <c r="E10" s="59">
        <v>97.690655340719559</v>
      </c>
      <c r="F10" s="60">
        <v>2.1095287316151912</v>
      </c>
      <c r="G10" s="60">
        <v>0</v>
      </c>
      <c r="H10" s="61">
        <v>0.19981592766524631</v>
      </c>
      <c r="I10" s="62">
        <v>0.62421059608459473</v>
      </c>
      <c r="J10" s="63">
        <v>-4.4324211776256561E-2</v>
      </c>
      <c r="K10" s="64">
        <v>96.885532663947345</v>
      </c>
      <c r="L10" s="60">
        <v>2.6453387758074309</v>
      </c>
      <c r="M10" s="65">
        <v>0</v>
      </c>
      <c r="N10" s="61">
        <v>0.46912856024521937</v>
      </c>
      <c r="O10" s="63">
        <v>0.98481756448745728</v>
      </c>
      <c r="P10" s="63">
        <v>-4.5478276908397675E-2</v>
      </c>
      <c r="Q10" s="74">
        <v>98.288014376582069</v>
      </c>
      <c r="R10" s="66">
        <v>1.7119856234179309</v>
      </c>
      <c r="S10" s="66">
        <v>0</v>
      </c>
      <c r="T10" s="67">
        <v>0</v>
      </c>
      <c r="U10" s="68">
        <v>8.5810676217079163E-2</v>
      </c>
      <c r="V10" s="68">
        <v>-3.0975406989455223E-2</v>
      </c>
      <c r="W10" s="69"/>
      <c r="X10" s="70">
        <v>64.817573242331619</v>
      </c>
      <c r="Y10" s="66">
        <v>0.9285909544442188</v>
      </c>
      <c r="Z10" s="66">
        <v>0</v>
      </c>
      <c r="AA10" s="66">
        <v>63.888982287887401</v>
      </c>
      <c r="AB10" s="66">
        <v>0</v>
      </c>
      <c r="AC10" s="66">
        <v>1.857181908888428</v>
      </c>
      <c r="AD10" s="66">
        <v>95.833473431831123</v>
      </c>
      <c r="AE10" s="70">
        <v>63.94069856333136</v>
      </c>
      <c r="AF10" s="66">
        <v>1.948969637900569</v>
      </c>
      <c r="AG10" s="66">
        <v>0</v>
      </c>
      <c r="AH10" s="66">
        <v>61.991728925430792</v>
      </c>
      <c r="AI10" s="66">
        <v>0</v>
      </c>
      <c r="AJ10" s="66">
        <v>3.897939275801138</v>
      </c>
      <c r="AK10" s="66">
        <v>92.987593388146209</v>
      </c>
      <c r="AL10" s="70">
        <v>65.47063891885648</v>
      </c>
      <c r="AM10" s="66">
        <v>0.1641119965946706</v>
      </c>
      <c r="AN10" s="66">
        <v>0</v>
      </c>
      <c r="AO10" s="66">
        <v>65.30652692226181</v>
      </c>
      <c r="AP10" s="66">
        <v>0</v>
      </c>
      <c r="AQ10" s="71">
        <v>0.32822399318934109</v>
      </c>
      <c r="AR10" s="71">
        <v>97.959790383392729</v>
      </c>
      <c r="AS10" s="111"/>
      <c r="AT10">
        <f t="shared" ref="AT10:AT73" si="1">(AD10-AA10)/AD10</f>
        <v>0.33333333333333348</v>
      </c>
      <c r="AU10" t="str">
        <f t="shared" si="0"/>
        <v>Albania</v>
      </c>
    </row>
    <row r="11" spans="1:47">
      <c r="A11">
        <v>6</v>
      </c>
      <c r="B11" s="72" t="s">
        <v>260</v>
      </c>
      <c r="C11" s="73" t="s">
        <v>261</v>
      </c>
      <c r="D11" s="73">
        <v>2015</v>
      </c>
      <c r="E11" s="59">
        <v>87.487686356524506</v>
      </c>
      <c r="F11" s="60">
        <v>8.4228863523361923</v>
      </c>
      <c r="G11" s="60">
        <v>3.2887794810127509</v>
      </c>
      <c r="H11" s="61">
        <v>0.80064781012655384</v>
      </c>
      <c r="I11" s="62">
        <v>0.25047415494918823</v>
      </c>
      <c r="J11" s="63">
        <v>-0.37214267253875732</v>
      </c>
      <c r="K11" s="64">
        <v>82.209237742523797</v>
      </c>
      <c r="L11" s="60">
        <v>11.21962301696975</v>
      </c>
      <c r="M11" s="65">
        <v>4.294177215190075</v>
      </c>
      <c r="N11" s="61">
        <v>2.2769620253163789</v>
      </c>
      <c r="O11" s="63">
        <v>0.65915483236312866</v>
      </c>
      <c r="P11" s="63">
        <v>-0.83569622039794922</v>
      </c>
      <c r="Q11" s="74">
        <v>89.672368674135072</v>
      </c>
      <c r="R11" s="66">
        <v>7.2653528448522309</v>
      </c>
      <c r="S11" s="66">
        <v>2.8726582278481492</v>
      </c>
      <c r="T11" s="67">
        <v>0.18962025316454861</v>
      </c>
      <c r="U11" s="68">
        <v>-0.11264549195766449</v>
      </c>
      <c r="V11" s="68">
        <v>-3.6962024867534637E-2</v>
      </c>
      <c r="W11" s="69"/>
      <c r="X11" s="70">
        <v>19.144222882989371</v>
      </c>
      <c r="Y11" s="66">
        <v>5.8665833762417003</v>
      </c>
      <c r="Z11" s="66">
        <v>0</v>
      </c>
      <c r="AA11" s="66">
        <v>13.27763950674767</v>
      </c>
      <c r="AB11" s="66">
        <v>3.9070558418486439</v>
      </c>
      <c r="AC11" s="66">
        <v>7.8261109106347542</v>
      </c>
      <c r="AD11" s="66">
        <v>75.754519604041107</v>
      </c>
      <c r="AE11" s="70">
        <v>24.27280189530078</v>
      </c>
      <c r="AF11" s="66">
        <v>15.187832478382051</v>
      </c>
      <c r="AG11" s="66">
        <v>0</v>
      </c>
      <c r="AH11" s="66">
        <v>9.0849694169187298</v>
      </c>
      <c r="AI11" s="66">
        <v>10.070467762527</v>
      </c>
      <c r="AJ11" s="66">
        <v>20.30519719423711</v>
      </c>
      <c r="AK11" s="66">
        <v>51.833572785759692</v>
      </c>
      <c r="AL11" s="70">
        <v>16.8881557826438</v>
      </c>
      <c r="AM11" s="66">
        <v>1.803213673141518</v>
      </c>
      <c r="AN11" s="66">
        <v>0</v>
      </c>
      <c r="AO11" s="66">
        <v>15.084942109502281</v>
      </c>
      <c r="AP11" s="66">
        <v>1.220231934877835</v>
      </c>
      <c r="AQ11" s="71">
        <v>2.3861954114052009</v>
      </c>
      <c r="AR11" s="71">
        <v>86.065941327852045</v>
      </c>
      <c r="AS11" s="111"/>
      <c r="AT11">
        <f t="shared" si="1"/>
        <v>0.82472808782699514</v>
      </c>
      <c r="AU11" t="str">
        <f t="shared" si="0"/>
        <v>Algeria</v>
      </c>
    </row>
    <row r="12" spans="1:47">
      <c r="A12">
        <v>8</v>
      </c>
      <c r="B12" s="72" t="s">
        <v>262</v>
      </c>
      <c r="C12" s="73" t="s">
        <v>1</v>
      </c>
      <c r="D12" s="73">
        <v>2015</v>
      </c>
      <c r="E12" s="59">
        <v>62.232926806873252</v>
      </c>
      <c r="F12" s="60">
        <v>36.385031087863588</v>
      </c>
      <c r="G12" s="60">
        <v>1.3820421052631671</v>
      </c>
      <c r="H12" s="61">
        <v>0</v>
      </c>
      <c r="I12" s="62">
        <v>-2.8029277920722961E-2</v>
      </c>
      <c r="J12" s="63">
        <v>0</v>
      </c>
      <c r="K12" s="64">
        <v>0</v>
      </c>
      <c r="L12" s="60">
        <v>0</v>
      </c>
      <c r="M12" s="65">
        <v>0</v>
      </c>
      <c r="N12" s="61">
        <v>0</v>
      </c>
      <c r="O12" s="63">
        <v>0</v>
      </c>
      <c r="P12" s="63">
        <v>0</v>
      </c>
      <c r="Q12" s="74">
        <v>0</v>
      </c>
      <c r="R12" s="66">
        <v>0</v>
      </c>
      <c r="S12" s="66">
        <v>0</v>
      </c>
      <c r="T12" s="67">
        <v>0</v>
      </c>
      <c r="U12" s="68">
        <v>0</v>
      </c>
      <c r="V12" s="68">
        <v>0</v>
      </c>
      <c r="W12" s="69"/>
      <c r="X12" s="70">
        <v>0</v>
      </c>
      <c r="Y12" s="66">
        <v>0</v>
      </c>
      <c r="Z12" s="66">
        <v>0</v>
      </c>
      <c r="AA12" s="66">
        <v>0</v>
      </c>
      <c r="AB12" s="66">
        <v>6.9024054808192066</v>
      </c>
      <c r="AC12" s="66">
        <v>24.62359651166323</v>
      </c>
      <c r="AD12" s="66">
        <v>30.70692481439081</v>
      </c>
      <c r="AE12" s="70">
        <v>0</v>
      </c>
      <c r="AF12" s="66">
        <v>0</v>
      </c>
      <c r="AG12" s="66">
        <v>0</v>
      </c>
      <c r="AH12" s="66">
        <v>0</v>
      </c>
      <c r="AI12" s="66">
        <v>0</v>
      </c>
      <c r="AJ12" s="66">
        <v>0</v>
      </c>
      <c r="AK12" s="66">
        <v>0</v>
      </c>
      <c r="AL12" s="70">
        <v>0</v>
      </c>
      <c r="AM12" s="66">
        <v>0</v>
      </c>
      <c r="AN12" s="66">
        <v>0</v>
      </c>
      <c r="AO12" s="66">
        <v>0</v>
      </c>
      <c r="AP12" s="66">
        <v>0</v>
      </c>
      <c r="AQ12" s="71">
        <v>0</v>
      </c>
      <c r="AR12" s="71">
        <v>0</v>
      </c>
      <c r="AS12" s="111"/>
      <c r="AT12">
        <f t="shared" si="1"/>
        <v>1</v>
      </c>
      <c r="AU12" t="str">
        <f t="shared" si="0"/>
        <v>American Samoa</v>
      </c>
    </row>
    <row r="13" spans="1:47">
      <c r="A13">
        <v>10</v>
      </c>
      <c r="B13" s="72" t="s">
        <v>263</v>
      </c>
      <c r="C13" s="73" t="s">
        <v>264</v>
      </c>
      <c r="D13" s="73">
        <v>2015</v>
      </c>
      <c r="E13" s="59">
        <v>100</v>
      </c>
      <c r="F13" s="60">
        <v>0</v>
      </c>
      <c r="G13" s="60">
        <v>0</v>
      </c>
      <c r="H13" s="61">
        <v>0</v>
      </c>
      <c r="I13" s="62">
        <v>0</v>
      </c>
      <c r="J13" s="63">
        <v>0</v>
      </c>
      <c r="K13" s="64">
        <v>100</v>
      </c>
      <c r="L13" s="60">
        <v>0</v>
      </c>
      <c r="M13" s="65">
        <v>0</v>
      </c>
      <c r="N13" s="61">
        <v>0</v>
      </c>
      <c r="O13" s="63">
        <v>0</v>
      </c>
      <c r="P13" s="63">
        <v>0</v>
      </c>
      <c r="Q13" s="74">
        <v>100</v>
      </c>
      <c r="R13" s="66">
        <v>0</v>
      </c>
      <c r="S13" s="66">
        <v>0</v>
      </c>
      <c r="T13" s="67">
        <v>0</v>
      </c>
      <c r="U13" s="68">
        <v>0</v>
      </c>
      <c r="V13" s="68">
        <v>0</v>
      </c>
      <c r="W13" s="69"/>
      <c r="X13" s="70">
        <v>100</v>
      </c>
      <c r="Y13" s="66">
        <v>0</v>
      </c>
      <c r="Z13" s="66">
        <v>0</v>
      </c>
      <c r="AA13" s="66">
        <v>100</v>
      </c>
      <c r="AB13" s="66">
        <v>0</v>
      </c>
      <c r="AC13" s="66">
        <v>0</v>
      </c>
      <c r="AD13" s="66">
        <v>100</v>
      </c>
      <c r="AE13" s="70">
        <v>100</v>
      </c>
      <c r="AF13" s="66">
        <v>0</v>
      </c>
      <c r="AG13" s="66">
        <v>0</v>
      </c>
      <c r="AH13" s="66">
        <v>100</v>
      </c>
      <c r="AI13" s="66">
        <v>0</v>
      </c>
      <c r="AJ13" s="66">
        <v>0</v>
      </c>
      <c r="AK13" s="66">
        <v>100</v>
      </c>
      <c r="AL13" s="70">
        <v>100</v>
      </c>
      <c r="AM13" s="66">
        <v>0</v>
      </c>
      <c r="AN13" s="66">
        <v>0</v>
      </c>
      <c r="AO13" s="66">
        <v>100</v>
      </c>
      <c r="AP13" s="66">
        <v>0</v>
      </c>
      <c r="AQ13" s="71">
        <v>0</v>
      </c>
      <c r="AR13" s="71">
        <v>100</v>
      </c>
      <c r="AS13" s="111"/>
      <c r="AT13">
        <f t="shared" si="1"/>
        <v>0</v>
      </c>
      <c r="AU13" t="str">
        <f t="shared" si="0"/>
        <v>Andorra</v>
      </c>
    </row>
    <row r="14" spans="1:47">
      <c r="A14">
        <v>12</v>
      </c>
      <c r="B14" s="72" t="s">
        <v>265</v>
      </c>
      <c r="C14" s="73" t="s">
        <v>2</v>
      </c>
      <c r="D14" s="73">
        <v>2015</v>
      </c>
      <c r="E14" s="59">
        <v>39.429422840720733</v>
      </c>
      <c r="F14" s="60">
        <v>14.98970687318303</v>
      </c>
      <c r="G14" s="60">
        <v>12.738136524198071</v>
      </c>
      <c r="H14" s="61">
        <v>32.842733761898167</v>
      </c>
      <c r="I14" s="62">
        <v>1.2624114751815796</v>
      </c>
      <c r="J14" s="63">
        <v>-1.2290525436401367</v>
      </c>
      <c r="K14" s="64">
        <v>21.385504123420329</v>
      </c>
      <c r="L14" s="60">
        <v>5.4823475110140452</v>
      </c>
      <c r="M14" s="65">
        <v>16.877997814763379</v>
      </c>
      <c r="N14" s="61">
        <v>56.254150550802251</v>
      </c>
      <c r="O14" s="63">
        <v>0.92363214492797852</v>
      </c>
      <c r="P14" s="63">
        <v>-0.6973036527633667</v>
      </c>
      <c r="Q14" s="74">
        <v>62.347862164964951</v>
      </c>
      <c r="R14" s="66">
        <v>27.06545616520015</v>
      </c>
      <c r="S14" s="66">
        <v>7.4799018089397578</v>
      </c>
      <c r="T14" s="67">
        <v>3.1067798608951311</v>
      </c>
      <c r="U14" s="68">
        <v>0.98889380693435669</v>
      </c>
      <c r="V14" s="68">
        <v>-1.0663591623306274</v>
      </c>
      <c r="W14" s="69"/>
      <c r="X14" s="70">
        <v>0</v>
      </c>
      <c r="Y14" s="66">
        <v>0</v>
      </c>
      <c r="Z14" s="66">
        <v>0</v>
      </c>
      <c r="AA14" s="66">
        <v>0</v>
      </c>
      <c r="AB14" s="66">
        <v>4.5315098231357149</v>
      </c>
      <c r="AC14" s="66">
        <v>28.255925829226449</v>
      </c>
      <c r="AD14" s="66">
        <v>6.6419871883585744</v>
      </c>
      <c r="AE14" s="70">
        <v>0</v>
      </c>
      <c r="AF14" s="66">
        <v>0</v>
      </c>
      <c r="AG14" s="66">
        <v>0</v>
      </c>
      <c r="AH14" s="66">
        <v>0</v>
      </c>
      <c r="AI14" s="66">
        <v>4.2355636830724377</v>
      </c>
      <c r="AJ14" s="66">
        <v>16.05402809239656</v>
      </c>
      <c r="AK14" s="66">
        <v>1.0959123479513271</v>
      </c>
      <c r="AL14" s="70">
        <v>0</v>
      </c>
      <c r="AM14" s="66">
        <v>0</v>
      </c>
      <c r="AN14" s="66">
        <v>0</v>
      </c>
      <c r="AO14" s="66">
        <v>0</v>
      </c>
      <c r="AP14" s="66">
        <v>5.1872731847404969</v>
      </c>
      <c r="AQ14" s="71">
        <v>43.868858376291954</v>
      </c>
      <c r="AR14" s="71">
        <v>13.2917306039325</v>
      </c>
      <c r="AS14" s="111"/>
      <c r="AT14">
        <f t="shared" si="1"/>
        <v>1</v>
      </c>
      <c r="AU14" t="str">
        <f t="shared" si="0"/>
        <v>Angola</v>
      </c>
    </row>
    <row r="15" spans="1:47">
      <c r="A15">
        <v>14</v>
      </c>
      <c r="B15" s="72" t="s">
        <v>266</v>
      </c>
      <c r="C15" s="73" t="s">
        <v>267</v>
      </c>
      <c r="D15" s="73">
        <v>2015</v>
      </c>
      <c r="E15" s="59">
        <v>96.917845714285562</v>
      </c>
      <c r="F15" s="60">
        <v>2.3832257142857109</v>
      </c>
      <c r="G15" s="60">
        <v>0.69892857142872344</v>
      </c>
      <c r="H15" s="61">
        <v>0</v>
      </c>
      <c r="I15" s="62">
        <v>0.48018038272857666</v>
      </c>
      <c r="J15" s="63">
        <v>-0.1393333375453949</v>
      </c>
      <c r="K15" s="64">
        <v>0</v>
      </c>
      <c r="L15" s="60">
        <v>0</v>
      </c>
      <c r="M15" s="65">
        <v>0</v>
      </c>
      <c r="N15" s="61">
        <v>0</v>
      </c>
      <c r="O15" s="63">
        <v>0</v>
      </c>
      <c r="P15" s="63">
        <v>0</v>
      </c>
      <c r="Q15" s="74">
        <v>96.917845714285562</v>
      </c>
      <c r="R15" s="66">
        <v>2.3832257142857109</v>
      </c>
      <c r="S15" s="66">
        <v>0.69892857142872344</v>
      </c>
      <c r="T15" s="67">
        <v>0</v>
      </c>
      <c r="U15" s="68">
        <v>0.48018038272857666</v>
      </c>
      <c r="V15" s="68">
        <v>-0.1393333375453949</v>
      </c>
      <c r="W15" s="69"/>
      <c r="X15" s="70">
        <v>0</v>
      </c>
      <c r="Y15" s="66">
        <v>0</v>
      </c>
      <c r="Z15" s="66">
        <v>0</v>
      </c>
      <c r="AA15" s="66">
        <v>0</v>
      </c>
      <c r="AB15" s="66">
        <v>4.1002457142855571</v>
      </c>
      <c r="AC15" s="66">
        <v>91.6464</v>
      </c>
      <c r="AD15" s="66">
        <v>1.1712</v>
      </c>
      <c r="AE15" s="70">
        <v>0</v>
      </c>
      <c r="AF15" s="66">
        <v>0</v>
      </c>
      <c r="AG15" s="66">
        <v>0</v>
      </c>
      <c r="AH15" s="66">
        <v>0</v>
      </c>
      <c r="AI15" s="66">
        <v>0</v>
      </c>
      <c r="AJ15" s="66">
        <v>0</v>
      </c>
      <c r="AK15" s="66">
        <v>0</v>
      </c>
      <c r="AL15" s="70">
        <v>0</v>
      </c>
      <c r="AM15" s="66">
        <v>0</v>
      </c>
      <c r="AN15" s="66">
        <v>0</v>
      </c>
      <c r="AO15" s="66">
        <v>0</v>
      </c>
      <c r="AP15" s="66">
        <v>4.1002457142855571</v>
      </c>
      <c r="AQ15" s="71">
        <v>91.6464</v>
      </c>
      <c r="AR15" s="71">
        <v>1.1712</v>
      </c>
      <c r="AS15" s="111"/>
      <c r="AT15">
        <f t="shared" si="1"/>
        <v>1</v>
      </c>
      <c r="AU15" t="str">
        <f t="shared" si="0"/>
        <v>Anguilla</v>
      </c>
    </row>
    <row r="16" spans="1:47">
      <c r="A16">
        <v>16</v>
      </c>
      <c r="B16" s="72" t="s">
        <v>268</v>
      </c>
      <c r="C16" s="73" t="s">
        <v>3</v>
      </c>
      <c r="D16" s="73">
        <v>2015</v>
      </c>
      <c r="E16" s="59">
        <v>87.504282384415191</v>
      </c>
      <c r="F16" s="60">
        <v>4.1745830309943264</v>
      </c>
      <c r="G16" s="60">
        <v>8.0570056714757641</v>
      </c>
      <c r="H16" s="61">
        <v>0.26412891311471748</v>
      </c>
      <c r="I16" s="62">
        <v>0.33966493606567383</v>
      </c>
      <c r="J16" s="63">
        <v>-7.2087772190570831E-2</v>
      </c>
      <c r="K16" s="64">
        <v>0</v>
      </c>
      <c r="L16" s="60">
        <v>0</v>
      </c>
      <c r="M16" s="65">
        <v>0</v>
      </c>
      <c r="N16" s="61">
        <v>0</v>
      </c>
      <c r="O16" s="63">
        <v>0</v>
      </c>
      <c r="P16" s="63">
        <v>0</v>
      </c>
      <c r="Q16" s="74">
        <v>0</v>
      </c>
      <c r="R16" s="66">
        <v>0</v>
      </c>
      <c r="S16" s="66">
        <v>0</v>
      </c>
      <c r="T16" s="67">
        <v>0</v>
      </c>
      <c r="U16" s="68">
        <v>0</v>
      </c>
      <c r="V16" s="68">
        <v>0</v>
      </c>
      <c r="W16" s="69"/>
      <c r="X16" s="70">
        <v>0</v>
      </c>
      <c r="Y16" s="66">
        <v>0</v>
      </c>
      <c r="Z16" s="66">
        <v>0</v>
      </c>
      <c r="AA16" s="66">
        <v>1.0644660174701379</v>
      </c>
      <c r="AB16" s="66">
        <v>10.746276335392251</v>
      </c>
      <c r="AC16" s="66">
        <v>75.6935400315528</v>
      </c>
      <c r="AD16" s="66">
        <v>1.0644660174701379</v>
      </c>
      <c r="AE16" s="70">
        <v>0</v>
      </c>
      <c r="AF16" s="66">
        <v>0</v>
      </c>
      <c r="AG16" s="66">
        <v>0</v>
      </c>
      <c r="AH16" s="66">
        <v>0</v>
      </c>
      <c r="AI16" s="66">
        <v>0</v>
      </c>
      <c r="AJ16" s="66">
        <v>0</v>
      </c>
      <c r="AK16" s="66">
        <v>0</v>
      </c>
      <c r="AL16" s="70">
        <v>0</v>
      </c>
      <c r="AM16" s="66">
        <v>0</v>
      </c>
      <c r="AN16" s="66">
        <v>0</v>
      </c>
      <c r="AO16" s="66">
        <v>0</v>
      </c>
      <c r="AP16" s="66">
        <v>0</v>
      </c>
      <c r="AQ16" s="71">
        <v>0</v>
      </c>
      <c r="AR16" s="71">
        <v>0</v>
      </c>
      <c r="AS16" s="111"/>
      <c r="AT16">
        <f t="shared" si="1"/>
        <v>0</v>
      </c>
      <c r="AU16" t="str">
        <f t="shared" si="0"/>
        <v>Antigua and Barbuda</v>
      </c>
    </row>
    <row r="17" spans="1:47">
      <c r="A17">
        <v>18</v>
      </c>
      <c r="B17" s="72" t="s">
        <v>269</v>
      </c>
      <c r="C17" s="73" t="s">
        <v>270</v>
      </c>
      <c r="D17" s="73">
        <v>2015</v>
      </c>
      <c r="E17" s="59">
        <v>94.83988146231593</v>
      </c>
      <c r="F17" s="60">
        <v>3.278179119052115</v>
      </c>
      <c r="G17" s="60">
        <v>0.53074585514440931</v>
      </c>
      <c r="H17" s="61">
        <v>1.3511935634875401</v>
      </c>
      <c r="I17" s="62">
        <v>4.2391135357320309E-3</v>
      </c>
      <c r="J17" s="63">
        <v>9.0079568326473236E-2</v>
      </c>
      <c r="K17" s="64">
        <v>93.565937020918909</v>
      </c>
      <c r="L17" s="60">
        <v>0</v>
      </c>
      <c r="M17" s="65">
        <v>6.4340629790810908</v>
      </c>
      <c r="N17" s="61">
        <v>0</v>
      </c>
      <c r="O17" s="63">
        <v>-0.20962518453598022</v>
      </c>
      <c r="P17" s="63">
        <v>0</v>
      </c>
      <c r="Q17" s="74">
        <v>94.954417191595013</v>
      </c>
      <c r="R17" s="66">
        <v>3.5729083269415209</v>
      </c>
      <c r="S17" s="66">
        <v>0</v>
      </c>
      <c r="T17" s="67">
        <v>1.4726744814634609</v>
      </c>
      <c r="U17" s="68">
        <v>2.757980115711689E-2</v>
      </c>
      <c r="V17" s="68">
        <v>9.8178297281265259E-2</v>
      </c>
      <c r="W17" s="69"/>
      <c r="X17" s="70">
        <v>26.484001486832611</v>
      </c>
      <c r="Y17" s="66">
        <v>18.941947060462649</v>
      </c>
      <c r="Z17" s="66">
        <v>0</v>
      </c>
      <c r="AA17" s="66">
        <v>7.5420544263699583</v>
      </c>
      <c r="AB17" s="66">
        <v>10.04477145815026</v>
      </c>
      <c r="AC17" s="66">
        <v>27.83912266277504</v>
      </c>
      <c r="AD17" s="66">
        <v>56.955987341390639</v>
      </c>
      <c r="AE17" s="70">
        <v>0</v>
      </c>
      <c r="AF17" s="66">
        <v>0</v>
      </c>
      <c r="AG17" s="66">
        <v>0</v>
      </c>
      <c r="AH17" s="66">
        <v>1.341698652365209</v>
      </c>
      <c r="AI17" s="66">
        <v>27.04927035425203</v>
      </c>
      <c r="AJ17" s="66">
        <v>56.384444444444853</v>
      </c>
      <c r="AK17" s="66">
        <v>10.13222222222203</v>
      </c>
      <c r="AL17" s="70">
        <v>25.134484457238049</v>
      </c>
      <c r="AM17" s="66">
        <v>16.969419646548161</v>
      </c>
      <c r="AN17" s="66">
        <v>0</v>
      </c>
      <c r="AO17" s="66">
        <v>8.165064810689886</v>
      </c>
      <c r="AP17" s="66">
        <v>8.5718379970437386</v>
      </c>
      <c r="AQ17" s="71">
        <v>25.367001296052589</v>
      </c>
      <c r="AR17" s="71">
        <v>61.015577898498677</v>
      </c>
      <c r="AS17" s="111"/>
      <c r="AT17">
        <f t="shared" si="1"/>
        <v>0.86758100810081029</v>
      </c>
      <c r="AU17" t="str">
        <f t="shared" si="0"/>
        <v>Argentina</v>
      </c>
    </row>
    <row r="18" spans="1:47">
      <c r="A18">
        <v>20</v>
      </c>
      <c r="B18" s="72" t="s">
        <v>271</v>
      </c>
      <c r="C18" s="73" t="s">
        <v>4</v>
      </c>
      <c r="D18" s="73">
        <v>2015</v>
      </c>
      <c r="E18" s="59">
        <v>91.582766652310937</v>
      </c>
      <c r="F18" s="60">
        <v>1.7120398594906281</v>
      </c>
      <c r="G18" s="60">
        <v>6.7051934881984314</v>
      </c>
      <c r="H18" s="61">
        <v>0</v>
      </c>
      <c r="I18" s="62">
        <v>8.1539444625377655E-2</v>
      </c>
      <c r="J18" s="63">
        <v>-6.0354932211339474E-3</v>
      </c>
      <c r="K18" s="64">
        <v>83.365634548880735</v>
      </c>
      <c r="L18" s="60">
        <v>0</v>
      </c>
      <c r="M18" s="65">
        <v>16.634365451119269</v>
      </c>
      <c r="N18" s="61">
        <v>0</v>
      </c>
      <c r="O18" s="63">
        <v>0.12103329598903656</v>
      </c>
      <c r="P18" s="63">
        <v>0</v>
      </c>
      <c r="Q18" s="74">
        <v>96.476754334801626</v>
      </c>
      <c r="R18" s="66">
        <v>2.731702422878477</v>
      </c>
      <c r="S18" s="66">
        <v>0.79154324231988937</v>
      </c>
      <c r="T18" s="67">
        <v>0</v>
      </c>
      <c r="U18" s="68">
        <v>8.6898602545261383E-2</v>
      </c>
      <c r="V18" s="68">
        <v>-9.3333330005407333E-3</v>
      </c>
      <c r="W18" s="69"/>
      <c r="X18" s="70">
        <v>0</v>
      </c>
      <c r="Y18" s="66">
        <v>0</v>
      </c>
      <c r="Z18" s="66">
        <v>0</v>
      </c>
      <c r="AA18" s="66">
        <v>0</v>
      </c>
      <c r="AB18" s="66">
        <v>24.59174032071234</v>
      </c>
      <c r="AC18" s="66">
        <v>0.63521887644955433</v>
      </c>
      <c r="AD18" s="66">
        <v>66.355807455149048</v>
      </c>
      <c r="AE18" s="70">
        <v>0</v>
      </c>
      <c r="AF18" s="66">
        <v>0</v>
      </c>
      <c r="AG18" s="66">
        <v>0</v>
      </c>
      <c r="AH18" s="66">
        <v>0</v>
      </c>
      <c r="AI18" s="66">
        <v>63.724278055911299</v>
      </c>
      <c r="AJ18" s="66">
        <v>1.7000000000000459</v>
      </c>
      <c r="AK18" s="66">
        <v>17.941356492969391</v>
      </c>
      <c r="AL18" s="70">
        <v>0</v>
      </c>
      <c r="AM18" s="66">
        <v>0</v>
      </c>
      <c r="AN18" s="66">
        <v>0</v>
      </c>
      <c r="AO18" s="66">
        <v>0</v>
      </c>
      <c r="AP18" s="66">
        <v>1.9629831665090769</v>
      </c>
      <c r="AQ18" s="71">
        <v>1.94493004906688E-2</v>
      </c>
      <c r="AR18" s="71">
        <v>94.494321867801872</v>
      </c>
      <c r="AS18" s="111"/>
      <c r="AT18">
        <f t="shared" si="1"/>
        <v>1</v>
      </c>
      <c r="AU18" t="str">
        <f t="shared" si="0"/>
        <v>Armenia</v>
      </c>
    </row>
    <row r="19" spans="1:47">
      <c r="A19">
        <v>22</v>
      </c>
      <c r="B19" s="72" t="s">
        <v>272</v>
      </c>
      <c r="C19" s="73" t="s">
        <v>273</v>
      </c>
      <c r="D19" s="73">
        <v>2015</v>
      </c>
      <c r="E19" s="59">
        <v>97.543481116502164</v>
      </c>
      <c r="F19" s="60">
        <v>0</v>
      </c>
      <c r="G19" s="60">
        <v>0.9833558819173478</v>
      </c>
      <c r="H19" s="61">
        <v>1.473163001580488</v>
      </c>
      <c r="I19" s="62">
        <v>-5.1781922578811646E-2</v>
      </c>
      <c r="J19" s="63">
        <v>2.8219616040587425E-2</v>
      </c>
      <c r="K19" s="64">
        <v>0</v>
      </c>
      <c r="L19" s="60">
        <v>0</v>
      </c>
      <c r="M19" s="65">
        <v>0</v>
      </c>
      <c r="N19" s="61">
        <v>0</v>
      </c>
      <c r="O19" s="63">
        <v>0</v>
      </c>
      <c r="P19" s="63">
        <v>0</v>
      </c>
      <c r="Q19" s="74">
        <v>0</v>
      </c>
      <c r="R19" s="66">
        <v>0</v>
      </c>
      <c r="S19" s="66">
        <v>0</v>
      </c>
      <c r="T19" s="67">
        <v>0</v>
      </c>
      <c r="U19" s="68">
        <v>0</v>
      </c>
      <c r="V19" s="68">
        <v>0</v>
      </c>
      <c r="W19" s="69"/>
      <c r="X19" s="70">
        <v>0</v>
      </c>
      <c r="Y19" s="66">
        <v>0</v>
      </c>
      <c r="Z19" s="66">
        <v>0</v>
      </c>
      <c r="AA19" s="66">
        <v>6.8525296666574373</v>
      </c>
      <c r="AB19" s="66">
        <v>0</v>
      </c>
      <c r="AC19" s="66">
        <v>90.330291993704861</v>
      </c>
      <c r="AD19" s="66">
        <v>7.2131891227973028</v>
      </c>
      <c r="AE19" s="70">
        <v>0</v>
      </c>
      <c r="AF19" s="66">
        <v>0</v>
      </c>
      <c r="AG19" s="66">
        <v>0</v>
      </c>
      <c r="AH19" s="66">
        <v>0</v>
      </c>
      <c r="AI19" s="66">
        <v>0</v>
      </c>
      <c r="AJ19" s="66">
        <v>0</v>
      </c>
      <c r="AK19" s="66">
        <v>0</v>
      </c>
      <c r="AL19" s="70">
        <v>0</v>
      </c>
      <c r="AM19" s="66">
        <v>0</v>
      </c>
      <c r="AN19" s="66">
        <v>0</v>
      </c>
      <c r="AO19" s="66">
        <v>0</v>
      </c>
      <c r="AP19" s="66">
        <v>0</v>
      </c>
      <c r="AQ19" s="71">
        <v>0</v>
      </c>
      <c r="AR19" s="71">
        <v>0</v>
      </c>
      <c r="AS19" s="111"/>
      <c r="AT19">
        <f t="shared" si="1"/>
        <v>5.0000000000000051E-2</v>
      </c>
      <c r="AU19" t="str">
        <f t="shared" si="0"/>
        <v>Aruba</v>
      </c>
    </row>
    <row r="20" spans="1:47">
      <c r="A20">
        <v>24</v>
      </c>
      <c r="B20" s="72" t="s">
        <v>274</v>
      </c>
      <c r="C20" s="73" t="s">
        <v>5</v>
      </c>
      <c r="D20" s="73">
        <v>2015</v>
      </c>
      <c r="E20" s="59">
        <v>100</v>
      </c>
      <c r="F20" s="60">
        <v>0</v>
      </c>
      <c r="G20" s="60">
        <v>0</v>
      </c>
      <c r="H20" s="61">
        <v>0</v>
      </c>
      <c r="I20" s="62">
        <v>0</v>
      </c>
      <c r="J20" s="63">
        <v>0</v>
      </c>
      <c r="K20" s="64">
        <v>0</v>
      </c>
      <c r="L20" s="60">
        <v>0</v>
      </c>
      <c r="M20" s="65">
        <v>0</v>
      </c>
      <c r="N20" s="61">
        <v>0</v>
      </c>
      <c r="O20" s="63">
        <v>0</v>
      </c>
      <c r="P20" s="63">
        <v>0</v>
      </c>
      <c r="Q20" s="74">
        <v>0</v>
      </c>
      <c r="R20" s="66">
        <v>0</v>
      </c>
      <c r="S20" s="66">
        <v>0</v>
      </c>
      <c r="T20" s="67">
        <v>0</v>
      </c>
      <c r="U20" s="68">
        <v>0</v>
      </c>
      <c r="V20" s="68">
        <v>0</v>
      </c>
      <c r="W20" s="69"/>
      <c r="X20" s="70">
        <v>74.213599999999914</v>
      </c>
      <c r="Y20" s="66">
        <v>5.75</v>
      </c>
      <c r="Z20" s="66">
        <v>0</v>
      </c>
      <c r="AA20" s="66">
        <v>68.463599999999914</v>
      </c>
      <c r="AB20" s="66">
        <v>11.5</v>
      </c>
      <c r="AC20" s="66">
        <v>0</v>
      </c>
      <c r="AD20" s="66">
        <v>88.5</v>
      </c>
      <c r="AE20" s="70">
        <v>0</v>
      </c>
      <c r="AF20" s="66">
        <v>0</v>
      </c>
      <c r="AG20" s="66">
        <v>0</v>
      </c>
      <c r="AH20" s="66">
        <v>0</v>
      </c>
      <c r="AI20" s="66">
        <v>0</v>
      </c>
      <c r="AJ20" s="66">
        <v>0</v>
      </c>
      <c r="AK20" s="66">
        <v>0</v>
      </c>
      <c r="AL20" s="70">
        <v>0</v>
      </c>
      <c r="AM20" s="66">
        <v>0</v>
      </c>
      <c r="AN20" s="66">
        <v>0</v>
      </c>
      <c r="AO20" s="66">
        <v>0</v>
      </c>
      <c r="AP20" s="66">
        <v>0</v>
      </c>
      <c r="AQ20" s="71">
        <v>0</v>
      </c>
      <c r="AR20" s="71">
        <v>0</v>
      </c>
      <c r="AS20" s="111"/>
      <c r="AT20">
        <f t="shared" si="1"/>
        <v>0.22640000000000096</v>
      </c>
      <c r="AU20" t="str">
        <f t="shared" si="0"/>
        <v>Australia</v>
      </c>
    </row>
    <row r="21" spans="1:47">
      <c r="A21">
        <v>26</v>
      </c>
      <c r="B21" s="72" t="s">
        <v>275</v>
      </c>
      <c r="C21" s="73" t="s">
        <v>276</v>
      </c>
      <c r="D21" s="73">
        <v>2015</v>
      </c>
      <c r="E21" s="59">
        <v>99.973375025299248</v>
      </c>
      <c r="F21" s="60">
        <v>0</v>
      </c>
      <c r="G21" s="60">
        <v>2.6624974700752601E-2</v>
      </c>
      <c r="H21" s="61">
        <v>0</v>
      </c>
      <c r="I21" s="62">
        <v>-1.7738237511366606E-3</v>
      </c>
      <c r="J21" s="63">
        <v>0</v>
      </c>
      <c r="K21" s="64">
        <v>100</v>
      </c>
      <c r="L21" s="60">
        <v>0</v>
      </c>
      <c r="M21" s="65">
        <v>0</v>
      </c>
      <c r="N21" s="61">
        <v>0</v>
      </c>
      <c r="O21" s="63">
        <v>3.4345036965532927E-6</v>
      </c>
      <c r="P21" s="63">
        <v>0</v>
      </c>
      <c r="Q21" s="74">
        <v>99.959639560543366</v>
      </c>
      <c r="R21" s="66">
        <v>0</v>
      </c>
      <c r="S21" s="66">
        <v>4.0360439456634402E-2</v>
      </c>
      <c r="T21" s="67">
        <v>0</v>
      </c>
      <c r="U21" s="68">
        <v>-2.6906959246844053E-3</v>
      </c>
      <c r="V21" s="68">
        <v>0</v>
      </c>
      <c r="W21" s="69"/>
      <c r="X21" s="70">
        <v>96.780616945517721</v>
      </c>
      <c r="Y21" s="66">
        <v>3.19275807978152</v>
      </c>
      <c r="Z21" s="66">
        <v>0</v>
      </c>
      <c r="AA21" s="66">
        <v>93.587858865736209</v>
      </c>
      <c r="AB21" s="66">
        <v>1.1455471320843089</v>
      </c>
      <c r="AC21" s="66">
        <v>5.2399690274787298</v>
      </c>
      <c r="AD21" s="66">
        <v>93.587858865736209</v>
      </c>
      <c r="AE21" s="70">
        <v>92.164044551527994</v>
      </c>
      <c r="AF21" s="66">
        <v>7.8359554484720038</v>
      </c>
      <c r="AG21" s="66">
        <v>0</v>
      </c>
      <c r="AH21" s="66">
        <v>84.328089103055987</v>
      </c>
      <c r="AI21" s="66">
        <v>0.27472875226038701</v>
      </c>
      <c r="AJ21" s="66">
        <v>15.397182144683621</v>
      </c>
      <c r="AK21" s="66">
        <v>84.328089103055987</v>
      </c>
      <c r="AL21" s="70">
        <v>99.162244275621077</v>
      </c>
      <c r="AM21" s="66">
        <v>0.79739528492228828</v>
      </c>
      <c r="AN21" s="66">
        <v>0</v>
      </c>
      <c r="AO21" s="66">
        <v>98.364848990698789</v>
      </c>
      <c r="AP21" s="66">
        <v>1.594790569844577</v>
      </c>
      <c r="AQ21" s="71">
        <v>0</v>
      </c>
      <c r="AR21" s="71">
        <v>98.364848990698789</v>
      </c>
      <c r="AS21" s="111"/>
      <c r="AT21">
        <f t="shared" si="1"/>
        <v>0</v>
      </c>
      <c r="AU21" t="str">
        <f t="shared" si="0"/>
        <v>Austria</v>
      </c>
    </row>
    <row r="22" spans="1:47">
      <c r="A22">
        <v>28</v>
      </c>
      <c r="B22" s="72" t="s">
        <v>277</v>
      </c>
      <c r="C22" s="73" t="s">
        <v>6</v>
      </c>
      <c r="D22" s="73">
        <v>2015</v>
      </c>
      <c r="E22" s="59">
        <v>89.349080834249349</v>
      </c>
      <c r="F22" s="60">
        <v>5.6981410255220073</v>
      </c>
      <c r="G22" s="60">
        <v>4.7948886136599702</v>
      </c>
      <c r="H22" s="61">
        <v>0.15788952656867489</v>
      </c>
      <c r="I22" s="62">
        <v>1.5830261707305908</v>
      </c>
      <c r="J22" s="63">
        <v>1.02559186052531E-3</v>
      </c>
      <c r="K22" s="64">
        <v>86.645338367800207</v>
      </c>
      <c r="L22" s="60">
        <v>2.440650745843143</v>
      </c>
      <c r="M22" s="65">
        <v>10.56608332670776</v>
      </c>
      <c r="N22" s="61">
        <v>0.34792755964890892</v>
      </c>
      <c r="O22" s="63">
        <v>2.2080633640289307</v>
      </c>
      <c r="P22" s="63">
        <v>9.5324097201228142E-3</v>
      </c>
      <c r="Q22" s="74">
        <v>91.595434425012101</v>
      </c>
      <c r="R22" s="66">
        <v>8.4045655749878971</v>
      </c>
      <c r="S22" s="66">
        <v>0</v>
      </c>
      <c r="T22" s="67">
        <v>0</v>
      </c>
      <c r="U22" s="68">
        <v>0.97093725204467773</v>
      </c>
      <c r="V22" s="68">
        <v>-5.5625308305025101E-3</v>
      </c>
      <c r="W22" s="69"/>
      <c r="X22" s="70">
        <v>0</v>
      </c>
      <c r="Y22" s="66">
        <v>0</v>
      </c>
      <c r="Z22" s="66">
        <v>0</v>
      </c>
      <c r="AA22" s="66">
        <v>34.914084469620917</v>
      </c>
      <c r="AB22" s="66">
        <v>51.930681819825438</v>
      </c>
      <c r="AC22" s="66">
        <v>0.86533987854882743</v>
      </c>
      <c r="AD22" s="66">
        <v>36.553059135875081</v>
      </c>
      <c r="AE22" s="70">
        <v>0</v>
      </c>
      <c r="AF22" s="66">
        <v>0</v>
      </c>
      <c r="AG22" s="66">
        <v>0</v>
      </c>
      <c r="AH22" s="66">
        <v>5.6440055556122699</v>
      </c>
      <c r="AI22" s="66">
        <v>79.577180608586445</v>
      </c>
      <c r="AJ22" s="66">
        <v>1.1592051983350251</v>
      </c>
      <c r="AK22" s="66">
        <v>5.9089525608787294</v>
      </c>
      <c r="AL22" s="70">
        <v>73.373123032573872</v>
      </c>
      <c r="AM22" s="66">
        <v>15.50584302807564</v>
      </c>
      <c r="AN22" s="66">
        <v>0</v>
      </c>
      <c r="AO22" s="66">
        <v>57.867280004498241</v>
      </c>
      <c r="AP22" s="66">
        <v>30.37501088206886</v>
      </c>
      <c r="AQ22" s="71">
        <v>0.63667517408241348</v>
      </c>
      <c r="AR22" s="71">
        <v>60.583748368860817</v>
      </c>
      <c r="AS22" s="111"/>
      <c r="AT22">
        <f t="shared" si="1"/>
        <v>4.4838235294117658E-2</v>
      </c>
      <c r="AU22" t="str">
        <f t="shared" si="0"/>
        <v>Azerbaijan</v>
      </c>
    </row>
    <row r="23" spans="1:47">
      <c r="A23">
        <v>30</v>
      </c>
      <c r="B23" s="72" t="s">
        <v>278</v>
      </c>
      <c r="C23" s="73" t="s">
        <v>279</v>
      </c>
      <c r="D23" s="73">
        <v>2015</v>
      </c>
      <c r="E23" s="59">
        <v>92.011196765227908</v>
      </c>
      <c r="F23" s="60">
        <v>4.5876684679059192</v>
      </c>
      <c r="G23" s="60">
        <v>3.4011347668661638</v>
      </c>
      <c r="H23" s="61">
        <v>0</v>
      </c>
      <c r="I23" s="62">
        <v>0.22790060937404633</v>
      </c>
      <c r="J23" s="63">
        <v>-7.9688027501106262E-2</v>
      </c>
      <c r="K23" s="64">
        <v>0</v>
      </c>
      <c r="L23" s="60">
        <v>0</v>
      </c>
      <c r="M23" s="65">
        <v>0</v>
      </c>
      <c r="N23" s="61">
        <v>0</v>
      </c>
      <c r="O23" s="63">
        <v>0</v>
      </c>
      <c r="P23" s="63">
        <v>0</v>
      </c>
      <c r="Q23" s="74">
        <v>0</v>
      </c>
      <c r="R23" s="66">
        <v>0</v>
      </c>
      <c r="S23" s="66">
        <v>0</v>
      </c>
      <c r="T23" s="67">
        <v>0</v>
      </c>
      <c r="U23" s="68">
        <v>0</v>
      </c>
      <c r="V23" s="68">
        <v>0</v>
      </c>
      <c r="W23" s="69"/>
      <c r="X23" s="70">
        <v>0</v>
      </c>
      <c r="Y23" s="66">
        <v>0</v>
      </c>
      <c r="Z23" s="66">
        <v>0</v>
      </c>
      <c r="AA23" s="66">
        <v>9.9228517631501738</v>
      </c>
      <c r="AB23" s="66">
        <v>0.60696898739482641</v>
      </c>
      <c r="AC23" s="66">
        <v>79.000663073895367</v>
      </c>
      <c r="AD23" s="66">
        <v>12.40356470393772</v>
      </c>
      <c r="AE23" s="70">
        <v>0</v>
      </c>
      <c r="AF23" s="66">
        <v>0</v>
      </c>
      <c r="AG23" s="66">
        <v>0</v>
      </c>
      <c r="AH23" s="66">
        <v>0</v>
      </c>
      <c r="AI23" s="66">
        <v>0</v>
      </c>
      <c r="AJ23" s="66">
        <v>0</v>
      </c>
      <c r="AK23" s="66">
        <v>0</v>
      </c>
      <c r="AL23" s="70">
        <v>0</v>
      </c>
      <c r="AM23" s="66">
        <v>0</v>
      </c>
      <c r="AN23" s="66">
        <v>0</v>
      </c>
      <c r="AO23" s="66">
        <v>0</v>
      </c>
      <c r="AP23" s="66">
        <v>0</v>
      </c>
      <c r="AQ23" s="71">
        <v>0</v>
      </c>
      <c r="AR23" s="71">
        <v>0</v>
      </c>
      <c r="AS23" s="111"/>
      <c r="AT23">
        <f t="shared" si="1"/>
        <v>0.20000000000000018</v>
      </c>
      <c r="AU23" t="str">
        <f t="shared" si="0"/>
        <v>Bahamas</v>
      </c>
    </row>
    <row r="24" spans="1:47">
      <c r="A24">
        <v>32</v>
      </c>
      <c r="B24" s="72" t="s">
        <v>280</v>
      </c>
      <c r="C24" s="73" t="s">
        <v>7</v>
      </c>
      <c r="D24" s="73">
        <v>2015</v>
      </c>
      <c r="E24" s="59">
        <v>100</v>
      </c>
      <c r="F24" s="60">
        <v>0</v>
      </c>
      <c r="G24" s="60">
        <v>0</v>
      </c>
      <c r="H24" s="61">
        <v>0</v>
      </c>
      <c r="I24" s="62">
        <v>1.0142676532268524E-2</v>
      </c>
      <c r="J24" s="63">
        <v>0</v>
      </c>
      <c r="K24" s="64">
        <v>0</v>
      </c>
      <c r="L24" s="60">
        <v>0</v>
      </c>
      <c r="M24" s="65">
        <v>0</v>
      </c>
      <c r="N24" s="61">
        <v>0</v>
      </c>
      <c r="O24" s="63">
        <v>0</v>
      </c>
      <c r="P24" s="63">
        <v>0</v>
      </c>
      <c r="Q24" s="74">
        <v>0</v>
      </c>
      <c r="R24" s="66">
        <v>0</v>
      </c>
      <c r="S24" s="66">
        <v>0</v>
      </c>
      <c r="T24" s="67">
        <v>0</v>
      </c>
      <c r="U24" s="68">
        <v>0</v>
      </c>
      <c r="V24" s="68">
        <v>0</v>
      </c>
      <c r="W24" s="69"/>
      <c r="X24" s="70">
        <v>0</v>
      </c>
      <c r="Y24" s="66">
        <v>0</v>
      </c>
      <c r="Z24" s="66">
        <v>0</v>
      </c>
      <c r="AA24" s="66">
        <v>0</v>
      </c>
      <c r="AB24" s="66">
        <v>0</v>
      </c>
      <c r="AC24" s="66">
        <v>0</v>
      </c>
      <c r="AD24" s="66">
        <v>0</v>
      </c>
      <c r="AE24" s="70">
        <v>0</v>
      </c>
      <c r="AF24" s="66">
        <v>0</v>
      </c>
      <c r="AG24" s="66">
        <v>0</v>
      </c>
      <c r="AH24" s="66">
        <v>0</v>
      </c>
      <c r="AI24" s="66">
        <v>0</v>
      </c>
      <c r="AJ24" s="66">
        <v>0</v>
      </c>
      <c r="AK24" s="66">
        <v>0</v>
      </c>
      <c r="AL24" s="70">
        <v>0</v>
      </c>
      <c r="AM24" s="66">
        <v>0</v>
      </c>
      <c r="AN24" s="66">
        <v>0</v>
      </c>
      <c r="AO24" s="66">
        <v>0</v>
      </c>
      <c r="AP24" s="66">
        <v>0</v>
      </c>
      <c r="AQ24" s="71">
        <v>0</v>
      </c>
      <c r="AR24" s="71">
        <v>0</v>
      </c>
      <c r="AS24" s="111"/>
      <c r="AT24" t="e">
        <f t="shared" si="1"/>
        <v>#DIV/0!</v>
      </c>
      <c r="AU24" t="str">
        <f t="shared" si="0"/>
        <v>Bahrain</v>
      </c>
    </row>
    <row r="25" spans="1:47">
      <c r="A25">
        <v>34</v>
      </c>
      <c r="B25" s="72" t="s">
        <v>281</v>
      </c>
      <c r="C25" s="73" t="s">
        <v>282</v>
      </c>
      <c r="D25" s="73">
        <v>2015</v>
      </c>
      <c r="E25" s="59">
        <v>46.924593229884557</v>
      </c>
      <c r="F25" s="60">
        <v>22.15197207921053</v>
      </c>
      <c r="G25" s="60">
        <v>30.816847373435468</v>
      </c>
      <c r="H25" s="61">
        <v>0.10658731746942671</v>
      </c>
      <c r="I25" s="62">
        <v>1.438551664352417</v>
      </c>
      <c r="J25" s="63">
        <v>-1.217192530632019</v>
      </c>
      <c r="K25" s="64">
        <v>43.408997722621073</v>
      </c>
      <c r="L25" s="60">
        <v>18.763536276745288</v>
      </c>
      <c r="M25" s="65">
        <v>37.665289414857853</v>
      </c>
      <c r="N25" s="61">
        <v>0.16217658577579641</v>
      </c>
      <c r="O25" s="63">
        <v>1.521159291267395</v>
      </c>
      <c r="P25" s="63">
        <v>-1.4801244735717773</v>
      </c>
      <c r="Q25" s="74">
        <v>53.665424794020247</v>
      </c>
      <c r="R25" s="66">
        <v>28.648986585889169</v>
      </c>
      <c r="S25" s="66">
        <v>17.685588620090581</v>
      </c>
      <c r="T25" s="67">
        <v>0</v>
      </c>
      <c r="U25" s="68">
        <v>0.8612133264541626</v>
      </c>
      <c r="V25" s="68">
        <v>-0.360635906457901</v>
      </c>
      <c r="W25" s="69"/>
      <c r="X25" s="70">
        <v>0</v>
      </c>
      <c r="Y25" s="66">
        <v>0</v>
      </c>
      <c r="Z25" s="66">
        <v>0</v>
      </c>
      <c r="AA25" s="66">
        <v>0</v>
      </c>
      <c r="AB25" s="66">
        <v>34.400010253913422</v>
      </c>
      <c r="AC25" s="66">
        <v>9.2149085677829028</v>
      </c>
      <c r="AD25" s="66">
        <v>3.3096744081882461</v>
      </c>
      <c r="AE25" s="70">
        <v>32.112201895980711</v>
      </c>
      <c r="AF25" s="66">
        <v>32.06242657330376</v>
      </c>
      <c r="AG25" s="66">
        <v>0</v>
      </c>
      <c r="AH25" s="66">
        <v>4.9775322676948598E-2</v>
      </c>
      <c r="AI25" s="66">
        <v>37.210850574893549</v>
      </c>
      <c r="AJ25" s="66">
        <v>6.0985965023736224</v>
      </c>
      <c r="AK25" s="66">
        <v>9.9550645353897196E-2</v>
      </c>
      <c r="AL25" s="70">
        <v>0</v>
      </c>
      <c r="AM25" s="66">
        <v>0</v>
      </c>
      <c r="AN25" s="66">
        <v>0</v>
      </c>
      <c r="AO25" s="66">
        <v>0</v>
      </c>
      <c r="AP25" s="66">
        <v>29.694769223046439</v>
      </c>
      <c r="AQ25" s="71">
        <v>14.88205793935883</v>
      </c>
      <c r="AR25" s="71">
        <v>9.0885976316149844</v>
      </c>
      <c r="AS25" s="111"/>
      <c r="AT25">
        <f t="shared" si="1"/>
        <v>1</v>
      </c>
      <c r="AU25" t="str">
        <f t="shared" si="0"/>
        <v>Bangladesh</v>
      </c>
    </row>
    <row r="26" spans="1:47">
      <c r="A26">
        <v>36</v>
      </c>
      <c r="B26" s="72" t="s">
        <v>283</v>
      </c>
      <c r="C26" s="73" t="s">
        <v>8</v>
      </c>
      <c r="D26" s="73">
        <v>2015</v>
      </c>
      <c r="E26" s="59">
        <v>96.456101690269463</v>
      </c>
      <c r="F26" s="60">
        <v>1.8757164915486511</v>
      </c>
      <c r="G26" s="60">
        <v>0.83863636363643934</v>
      </c>
      <c r="H26" s="61">
        <v>0.82954545454545325</v>
      </c>
      <c r="I26" s="62">
        <v>0.57324641942977905</v>
      </c>
      <c r="J26" s="63">
        <v>8.4848487749695778E-3</v>
      </c>
      <c r="K26" s="64">
        <v>0</v>
      </c>
      <c r="L26" s="60">
        <v>0</v>
      </c>
      <c r="M26" s="65">
        <v>0</v>
      </c>
      <c r="N26" s="61">
        <v>0</v>
      </c>
      <c r="O26" s="63">
        <v>0</v>
      </c>
      <c r="P26" s="63">
        <v>0</v>
      </c>
      <c r="Q26" s="74">
        <v>0</v>
      </c>
      <c r="R26" s="66">
        <v>0</v>
      </c>
      <c r="S26" s="66">
        <v>0</v>
      </c>
      <c r="T26" s="67">
        <v>0</v>
      </c>
      <c r="U26" s="68">
        <v>0</v>
      </c>
      <c r="V26" s="68">
        <v>0</v>
      </c>
      <c r="W26" s="69"/>
      <c r="X26" s="70">
        <v>0</v>
      </c>
      <c r="Y26" s="66">
        <v>0</v>
      </c>
      <c r="Z26" s="66">
        <v>0</v>
      </c>
      <c r="AA26" s="66">
        <v>5.2969929648242102</v>
      </c>
      <c r="AB26" s="66">
        <v>81.644139881224149</v>
      </c>
      <c r="AC26" s="66">
        <v>9.5149688442211051</v>
      </c>
      <c r="AD26" s="66">
        <v>5.2969929648242102</v>
      </c>
      <c r="AE26" s="70">
        <v>0</v>
      </c>
      <c r="AF26" s="66">
        <v>0</v>
      </c>
      <c r="AG26" s="66">
        <v>0</v>
      </c>
      <c r="AH26" s="66">
        <v>0</v>
      </c>
      <c r="AI26" s="66">
        <v>0</v>
      </c>
      <c r="AJ26" s="66">
        <v>0</v>
      </c>
      <c r="AK26" s="66">
        <v>0</v>
      </c>
      <c r="AL26" s="70">
        <v>0</v>
      </c>
      <c r="AM26" s="66">
        <v>0</v>
      </c>
      <c r="AN26" s="66">
        <v>0</v>
      </c>
      <c r="AO26" s="66">
        <v>0</v>
      </c>
      <c r="AP26" s="66">
        <v>0</v>
      </c>
      <c r="AQ26" s="71">
        <v>0</v>
      </c>
      <c r="AR26" s="71">
        <v>0</v>
      </c>
      <c r="AS26" s="111"/>
      <c r="AT26">
        <f t="shared" si="1"/>
        <v>0</v>
      </c>
      <c r="AU26" t="str">
        <f t="shared" si="0"/>
        <v>Barbados</v>
      </c>
    </row>
    <row r="27" spans="1:47">
      <c r="A27">
        <v>38</v>
      </c>
      <c r="B27" s="72" t="s">
        <v>284</v>
      </c>
      <c r="C27" s="73" t="s">
        <v>285</v>
      </c>
      <c r="D27" s="73">
        <v>2015</v>
      </c>
      <c r="E27" s="59">
        <v>94.253979863712573</v>
      </c>
      <c r="F27" s="60">
        <v>4.8666061941722401</v>
      </c>
      <c r="G27" s="60">
        <v>0.87941394211519253</v>
      </c>
      <c r="H27" s="61">
        <v>0</v>
      </c>
      <c r="I27" s="62">
        <v>-4.8591967672109604E-2</v>
      </c>
      <c r="J27" s="63">
        <v>0</v>
      </c>
      <c r="K27" s="64">
        <v>94.927086010782162</v>
      </c>
      <c r="L27" s="60">
        <v>2.0875719993848509</v>
      </c>
      <c r="M27" s="65">
        <v>2.9853419898329889</v>
      </c>
      <c r="N27" s="61">
        <v>0</v>
      </c>
      <c r="O27" s="63">
        <v>-0.1640813797712326</v>
      </c>
      <c r="P27" s="63">
        <v>0</v>
      </c>
      <c r="Q27" s="74">
        <v>94.049125288346701</v>
      </c>
      <c r="R27" s="66">
        <v>5.7123834499273123</v>
      </c>
      <c r="S27" s="66">
        <v>0.23849126172599711</v>
      </c>
      <c r="T27" s="67">
        <v>0</v>
      </c>
      <c r="U27" s="68">
        <v>6.5665217116475105E-3</v>
      </c>
      <c r="V27" s="68">
        <v>0</v>
      </c>
      <c r="W27" s="69"/>
      <c r="X27" s="70">
        <v>76.229700180291843</v>
      </c>
      <c r="Y27" s="66">
        <v>4.810957504553957</v>
      </c>
      <c r="Z27" s="66">
        <v>0</v>
      </c>
      <c r="AA27" s="66">
        <v>71.418742675737889</v>
      </c>
      <c r="AB27" s="66">
        <v>4.2375810639669869</v>
      </c>
      <c r="AC27" s="66">
        <v>5.3843339451409271</v>
      </c>
      <c r="AD27" s="66">
        <v>84.63206485460465</v>
      </c>
      <c r="AE27" s="70">
        <v>71.027336553848613</v>
      </c>
      <c r="AF27" s="66">
        <v>13.201227111276459</v>
      </c>
      <c r="AG27" s="66">
        <v>0</v>
      </c>
      <c r="AH27" s="66">
        <v>57.826109442572147</v>
      </c>
      <c r="AI27" s="66">
        <v>12.25640174328367</v>
      </c>
      <c r="AJ27" s="66">
        <v>14.146052479269249</v>
      </c>
      <c r="AK27" s="66">
        <v>68.524631788229243</v>
      </c>
      <c r="AL27" s="70">
        <v>77.749111511511913</v>
      </c>
      <c r="AM27" s="66">
        <v>2.3503383164091201</v>
      </c>
      <c r="AN27" s="66">
        <v>0</v>
      </c>
      <c r="AO27" s="66">
        <v>75.398773195102791</v>
      </c>
      <c r="AP27" s="66">
        <v>1.8859255280705509</v>
      </c>
      <c r="AQ27" s="71">
        <v>2.814751104747689</v>
      </c>
      <c r="AR27" s="71">
        <v>89.348448655528458</v>
      </c>
      <c r="AS27" s="111"/>
      <c r="AT27">
        <f t="shared" si="1"/>
        <v>0.15612666666666886</v>
      </c>
      <c r="AU27" t="str">
        <f t="shared" si="0"/>
        <v>Belarus</v>
      </c>
    </row>
    <row r="28" spans="1:47">
      <c r="A28">
        <v>40</v>
      </c>
      <c r="B28" s="72" t="s">
        <v>286</v>
      </c>
      <c r="C28" s="73" t="s">
        <v>9</v>
      </c>
      <c r="D28" s="73">
        <v>2015</v>
      </c>
      <c r="E28" s="59">
        <v>99.486060607405946</v>
      </c>
      <c r="F28" s="60">
        <v>0.51369530666932994</v>
      </c>
      <c r="G28" s="60">
        <v>2.4408592470709999E-4</v>
      </c>
      <c r="H28" s="61">
        <v>0</v>
      </c>
      <c r="I28" s="62">
        <v>1.833947462728247E-4</v>
      </c>
      <c r="J28" s="63">
        <v>0</v>
      </c>
      <c r="K28" s="64">
        <v>99.48310120239951</v>
      </c>
      <c r="L28" s="60">
        <v>0.50550356302032273</v>
      </c>
      <c r="M28" s="65">
        <v>1.13952345801636E-2</v>
      </c>
      <c r="N28" s="61">
        <v>0</v>
      </c>
      <c r="O28" s="63">
        <v>-1.6777754353825003E-4</v>
      </c>
      <c r="P28" s="63">
        <v>0</v>
      </c>
      <c r="Q28" s="74">
        <v>99.486125385405956</v>
      </c>
      <c r="R28" s="66">
        <v>0.51387461459403905</v>
      </c>
      <c r="S28" s="66">
        <v>0</v>
      </c>
      <c r="T28" s="67">
        <v>0</v>
      </c>
      <c r="U28" s="68">
        <v>1.9226335280109197E-4</v>
      </c>
      <c r="V28" s="68">
        <v>0</v>
      </c>
      <c r="W28" s="69"/>
      <c r="X28" s="70">
        <v>97.100186515619512</v>
      </c>
      <c r="Y28" s="66">
        <v>2.3858740917864472</v>
      </c>
      <c r="Z28" s="66">
        <v>0</v>
      </c>
      <c r="AA28" s="66">
        <v>94.714312423833064</v>
      </c>
      <c r="AB28" s="66">
        <v>0</v>
      </c>
      <c r="AC28" s="66">
        <v>4.7717481835728943</v>
      </c>
      <c r="AD28" s="66">
        <v>94.714312423833064</v>
      </c>
      <c r="AE28" s="70">
        <v>0</v>
      </c>
      <c r="AF28" s="66">
        <v>0</v>
      </c>
      <c r="AG28" s="66">
        <v>0</v>
      </c>
      <c r="AH28" s="66">
        <v>0</v>
      </c>
      <c r="AI28" s="66">
        <v>0</v>
      </c>
      <c r="AJ28" s="66">
        <v>0</v>
      </c>
      <c r="AK28" s="66">
        <v>0</v>
      </c>
      <c r="AL28" s="70">
        <v>0</v>
      </c>
      <c r="AM28" s="66">
        <v>0</v>
      </c>
      <c r="AN28" s="66">
        <v>0</v>
      </c>
      <c r="AO28" s="66">
        <v>0</v>
      </c>
      <c r="AP28" s="66">
        <v>0</v>
      </c>
      <c r="AQ28" s="71">
        <v>0</v>
      </c>
      <c r="AR28" s="71">
        <v>0</v>
      </c>
      <c r="AS28" s="111"/>
      <c r="AT28">
        <f t="shared" si="1"/>
        <v>0</v>
      </c>
      <c r="AU28" t="str">
        <f t="shared" si="0"/>
        <v>Belgium</v>
      </c>
    </row>
    <row r="29" spans="1:47">
      <c r="A29">
        <v>42</v>
      </c>
      <c r="B29" s="72" t="s">
        <v>287</v>
      </c>
      <c r="C29" s="73" t="s">
        <v>288</v>
      </c>
      <c r="D29" s="73">
        <v>2015</v>
      </c>
      <c r="E29" s="59">
        <v>87.157202303199043</v>
      </c>
      <c r="F29" s="60">
        <v>8.9542242907415499</v>
      </c>
      <c r="G29" s="60">
        <v>2.660253015773125</v>
      </c>
      <c r="H29" s="61">
        <v>1.22832039028628</v>
      </c>
      <c r="I29" s="62">
        <v>0.30616733431816101</v>
      </c>
      <c r="J29" s="63">
        <v>-0.20711474120616913</v>
      </c>
      <c r="K29" s="64">
        <v>84.043331024760676</v>
      </c>
      <c r="L29" s="60">
        <v>10.473710983454399</v>
      </c>
      <c r="M29" s="65">
        <v>3.927180917106853</v>
      </c>
      <c r="N29" s="61">
        <v>1.5557770746780759</v>
      </c>
      <c r="O29" s="63">
        <v>0.35672092437744141</v>
      </c>
      <c r="P29" s="63">
        <v>-0.37223047018051147</v>
      </c>
      <c r="Q29" s="74">
        <v>91.12465656188202</v>
      </c>
      <c r="R29" s="66">
        <v>7.0182117163749433</v>
      </c>
      <c r="S29" s="66">
        <v>1.0460313450200549</v>
      </c>
      <c r="T29" s="67">
        <v>0.81110037672297608</v>
      </c>
      <c r="U29" s="68">
        <v>0.28720465302467346</v>
      </c>
      <c r="V29" s="68">
        <v>-2.9650622978806496E-2</v>
      </c>
      <c r="W29" s="69"/>
      <c r="X29" s="70">
        <v>0</v>
      </c>
      <c r="Y29" s="66">
        <v>0</v>
      </c>
      <c r="Z29" s="66">
        <v>0</v>
      </c>
      <c r="AA29" s="66">
        <v>4.7337393410304394</v>
      </c>
      <c r="AB29" s="66">
        <v>25.589140002019931</v>
      </c>
      <c r="AC29" s="66">
        <v>53.219315667968459</v>
      </c>
      <c r="AD29" s="66">
        <v>8.3487466332106486</v>
      </c>
      <c r="AE29" s="70">
        <v>0</v>
      </c>
      <c r="AF29" s="66">
        <v>0</v>
      </c>
      <c r="AG29" s="66">
        <v>0</v>
      </c>
      <c r="AH29" s="66">
        <v>0.30648605202553347</v>
      </c>
      <c r="AI29" s="66">
        <v>38.228063673165657</v>
      </c>
      <c r="AJ29" s="66">
        <v>45.274727577299537</v>
      </c>
      <c r="AK29" s="66">
        <v>0.54053977429547351</v>
      </c>
      <c r="AL29" s="70">
        <v>0</v>
      </c>
      <c r="AM29" s="66">
        <v>0</v>
      </c>
      <c r="AN29" s="66">
        <v>0</v>
      </c>
      <c r="AO29" s="66">
        <v>10.61440970953884</v>
      </c>
      <c r="AP29" s="66">
        <v>8.7223236926847214</v>
      </c>
      <c r="AQ29" s="71">
        <v>63.682033557841343</v>
      </c>
      <c r="AR29" s="71">
        <v>18.720299311355969</v>
      </c>
      <c r="AS29" s="111"/>
      <c r="AT29">
        <f t="shared" si="1"/>
        <v>0.43299999999999983</v>
      </c>
      <c r="AU29" t="str">
        <f t="shared" si="0"/>
        <v>Belize</v>
      </c>
    </row>
    <row r="30" spans="1:47">
      <c r="A30">
        <v>44</v>
      </c>
      <c r="B30" s="72" t="s">
        <v>289</v>
      </c>
      <c r="C30" s="73" t="s">
        <v>10</v>
      </c>
      <c r="D30" s="73">
        <v>2015</v>
      </c>
      <c r="E30" s="59">
        <v>13.930112245820281</v>
      </c>
      <c r="F30" s="60">
        <v>20.204210292759299</v>
      </c>
      <c r="G30" s="60">
        <v>10.704657945216351</v>
      </c>
      <c r="H30" s="61">
        <v>55.161019516204078</v>
      </c>
      <c r="I30" s="62">
        <v>0.26411184668540955</v>
      </c>
      <c r="J30" s="63">
        <v>-0.83876329660415649</v>
      </c>
      <c r="K30" s="64">
        <v>5.3955355414303998</v>
      </c>
      <c r="L30" s="60">
        <v>9.3373891308685639</v>
      </c>
      <c r="M30" s="65">
        <v>8.8489967771216698</v>
      </c>
      <c r="N30" s="61">
        <v>76.418078550579366</v>
      </c>
      <c r="O30" s="63">
        <v>0.1365056037902832</v>
      </c>
      <c r="P30" s="63">
        <v>-0.63250720500946045</v>
      </c>
      <c r="Q30" s="74">
        <v>24.814367633330018</v>
      </c>
      <c r="R30" s="66">
        <v>34.062807019129622</v>
      </c>
      <c r="S30" s="66">
        <v>13.071206488372351</v>
      </c>
      <c r="T30" s="67">
        <v>28.051618859167998</v>
      </c>
      <c r="U30" s="68">
        <v>0.27969604730606079</v>
      </c>
      <c r="V30" s="68">
        <v>-0.69808995723724365</v>
      </c>
      <c r="W30" s="69"/>
      <c r="X30" s="70">
        <v>0</v>
      </c>
      <c r="Y30" s="66">
        <v>0</v>
      </c>
      <c r="Z30" s="66">
        <v>0</v>
      </c>
      <c r="AA30" s="66">
        <v>0</v>
      </c>
      <c r="AB30" s="66">
        <v>11.870425286446469</v>
      </c>
      <c r="AC30" s="66">
        <v>1.548703176263025</v>
      </c>
      <c r="AD30" s="66">
        <v>0.51098378311079362</v>
      </c>
      <c r="AE30" s="70">
        <v>0</v>
      </c>
      <c r="AF30" s="66">
        <v>0</v>
      </c>
      <c r="AG30" s="66">
        <v>0</v>
      </c>
      <c r="AH30" s="66">
        <v>0</v>
      </c>
      <c r="AI30" s="66">
        <v>5.1381997500607346</v>
      </c>
      <c r="AJ30" s="66">
        <v>0.13711510353597639</v>
      </c>
      <c r="AK30" s="66">
        <v>0.1202206878336895</v>
      </c>
      <c r="AL30" s="70">
        <v>0</v>
      </c>
      <c r="AM30" s="66">
        <v>0</v>
      </c>
      <c r="AN30" s="66">
        <v>0</v>
      </c>
      <c r="AO30" s="66">
        <v>0</v>
      </c>
      <c r="AP30" s="66">
        <v>20.352163314620661</v>
      </c>
      <c r="AQ30" s="71">
        <v>3.4379298161690239</v>
      </c>
      <c r="AR30" s="71">
        <v>1.0242745025403399</v>
      </c>
      <c r="AS30" s="111"/>
      <c r="AT30">
        <f t="shared" si="1"/>
        <v>1</v>
      </c>
      <c r="AU30" t="str">
        <f t="shared" si="0"/>
        <v>Benin</v>
      </c>
    </row>
    <row r="31" spans="1:47">
      <c r="A31">
        <v>46</v>
      </c>
      <c r="B31" s="72" t="s">
        <v>290</v>
      </c>
      <c r="C31" s="73" t="s">
        <v>11</v>
      </c>
      <c r="D31" s="73">
        <v>2015</v>
      </c>
      <c r="E31" s="59">
        <v>99.903140017063578</v>
      </c>
      <c r="F31" s="60">
        <v>0</v>
      </c>
      <c r="G31" s="60">
        <v>9.6859982936422298E-2</v>
      </c>
      <c r="H31" s="61">
        <v>0</v>
      </c>
      <c r="I31" s="62">
        <v>-6.0668592341244221E-3</v>
      </c>
      <c r="J31" s="63">
        <v>0</v>
      </c>
      <c r="K31" s="64">
        <v>0</v>
      </c>
      <c r="L31" s="60">
        <v>0</v>
      </c>
      <c r="M31" s="65">
        <v>0</v>
      </c>
      <c r="N31" s="61">
        <v>0</v>
      </c>
      <c r="O31" s="63">
        <v>0</v>
      </c>
      <c r="P31" s="63">
        <v>0</v>
      </c>
      <c r="Q31" s="74">
        <v>99.903140017063578</v>
      </c>
      <c r="R31" s="66">
        <v>0</v>
      </c>
      <c r="S31" s="66">
        <v>9.6859982936422298E-2</v>
      </c>
      <c r="T31" s="67">
        <v>0</v>
      </c>
      <c r="U31" s="68">
        <v>-6.0668592341244221E-3</v>
      </c>
      <c r="V31" s="68">
        <v>0</v>
      </c>
      <c r="W31" s="69"/>
      <c r="X31" s="70">
        <v>0</v>
      </c>
      <c r="Y31" s="66">
        <v>0</v>
      </c>
      <c r="Z31" s="66">
        <v>0</v>
      </c>
      <c r="AA31" s="66">
        <v>0</v>
      </c>
      <c r="AB31" s="66">
        <v>0</v>
      </c>
      <c r="AC31" s="66">
        <v>0</v>
      </c>
      <c r="AD31" s="66">
        <v>0</v>
      </c>
      <c r="AE31" s="70">
        <v>0</v>
      </c>
      <c r="AF31" s="66">
        <v>0</v>
      </c>
      <c r="AG31" s="66">
        <v>0</v>
      </c>
      <c r="AH31" s="66">
        <v>0</v>
      </c>
      <c r="AI31" s="66">
        <v>0</v>
      </c>
      <c r="AJ31" s="66">
        <v>0</v>
      </c>
      <c r="AK31" s="66">
        <v>0</v>
      </c>
      <c r="AL31" s="70">
        <v>0</v>
      </c>
      <c r="AM31" s="66">
        <v>0</v>
      </c>
      <c r="AN31" s="66">
        <v>0</v>
      </c>
      <c r="AO31" s="66">
        <v>0</v>
      </c>
      <c r="AP31" s="66">
        <v>0</v>
      </c>
      <c r="AQ31" s="71">
        <v>0</v>
      </c>
      <c r="AR31" s="71">
        <v>0</v>
      </c>
      <c r="AS31" s="111"/>
      <c r="AT31" t="e">
        <f t="shared" si="1"/>
        <v>#DIV/0!</v>
      </c>
      <c r="AU31" t="str">
        <f t="shared" si="0"/>
        <v>Bermuda</v>
      </c>
    </row>
    <row r="32" spans="1:47">
      <c r="A32">
        <v>48</v>
      </c>
      <c r="B32" s="72" t="s">
        <v>291</v>
      </c>
      <c r="C32" s="73" t="s">
        <v>12</v>
      </c>
      <c r="D32" s="73">
        <v>2015</v>
      </c>
      <c r="E32" s="59">
        <v>62.87050065048755</v>
      </c>
      <c r="F32" s="60">
        <v>8.3904328496222575</v>
      </c>
      <c r="G32" s="60">
        <v>28.7390664998902</v>
      </c>
      <c r="H32" s="61">
        <v>0</v>
      </c>
      <c r="I32" s="62">
        <v>0.64545285701751709</v>
      </c>
      <c r="J32" s="63">
        <v>-0.76550942659378052</v>
      </c>
      <c r="K32" s="64">
        <v>57.067555852352633</v>
      </c>
      <c r="L32" s="60">
        <v>4.3644275842559264</v>
      </c>
      <c r="M32" s="65">
        <v>38.568016563391438</v>
      </c>
      <c r="N32" s="61">
        <v>0</v>
      </c>
      <c r="O32" s="63">
        <v>0.74326759576797485</v>
      </c>
      <c r="P32" s="63">
        <v>-0.90537488460540771</v>
      </c>
      <c r="Q32" s="74">
        <v>72.083974437734355</v>
      </c>
      <c r="R32" s="66">
        <v>14.7826173818088</v>
      </c>
      <c r="S32" s="66">
        <v>13.133408180456851</v>
      </c>
      <c r="T32" s="67">
        <v>0</v>
      </c>
      <c r="U32" s="68">
        <v>-0.16246667504310608</v>
      </c>
      <c r="V32" s="68">
        <v>-0.35511347651481628</v>
      </c>
      <c r="W32" s="69"/>
      <c r="X32" s="70">
        <v>0</v>
      </c>
      <c r="Y32" s="66">
        <v>0</v>
      </c>
      <c r="Z32" s="66">
        <v>0</v>
      </c>
      <c r="AA32" s="66">
        <v>0</v>
      </c>
      <c r="AB32" s="66">
        <v>13.48025447605737</v>
      </c>
      <c r="AC32" s="66">
        <v>44.574173056704929</v>
      </c>
      <c r="AD32" s="66">
        <v>4.8160731177252467</v>
      </c>
      <c r="AE32" s="70">
        <v>0</v>
      </c>
      <c r="AF32" s="66">
        <v>0</v>
      </c>
      <c r="AG32" s="66">
        <v>0</v>
      </c>
      <c r="AH32" s="66">
        <v>0</v>
      </c>
      <c r="AI32" s="66">
        <v>23.13344837629699</v>
      </c>
      <c r="AJ32" s="66">
        <v>32.865809082305653</v>
      </c>
      <c r="AK32" s="66">
        <v>1.0682983937499999</v>
      </c>
      <c r="AL32" s="70">
        <v>0</v>
      </c>
      <c r="AM32" s="66">
        <v>0</v>
      </c>
      <c r="AN32" s="66">
        <v>0</v>
      </c>
      <c r="AO32" s="66">
        <v>0</v>
      </c>
      <c r="AP32" s="66">
        <v>0</v>
      </c>
      <c r="AQ32" s="71">
        <v>61.877140406234354</v>
      </c>
      <c r="AR32" s="71">
        <v>10.2068340315</v>
      </c>
      <c r="AS32" s="111"/>
      <c r="AT32">
        <f t="shared" si="1"/>
        <v>1</v>
      </c>
      <c r="AU32" t="str">
        <f t="shared" si="0"/>
        <v>Bhutan</v>
      </c>
    </row>
    <row r="33" spans="1:47">
      <c r="A33">
        <v>50</v>
      </c>
      <c r="B33" s="72" t="s">
        <v>292</v>
      </c>
      <c r="C33" s="73" t="s">
        <v>13</v>
      </c>
      <c r="D33" s="73">
        <v>2015</v>
      </c>
      <c r="E33" s="59">
        <v>52.614026729764539</v>
      </c>
      <c r="F33" s="60">
        <v>20.200930500613421</v>
      </c>
      <c r="G33" s="60">
        <v>12.69461137324083</v>
      </c>
      <c r="H33" s="61">
        <v>14.49043139638122</v>
      </c>
      <c r="I33" s="62">
        <v>0.95740306377410889</v>
      </c>
      <c r="J33" s="63">
        <v>-1.2591031789779663</v>
      </c>
      <c r="K33" s="64">
        <v>26.802062480801741</v>
      </c>
      <c r="L33" s="60">
        <v>6.1017887076123953</v>
      </c>
      <c r="M33" s="65">
        <v>26.669223775517821</v>
      </c>
      <c r="N33" s="61">
        <v>40.426925036068042</v>
      </c>
      <c r="O33" s="63">
        <v>0.60133731365203857</v>
      </c>
      <c r="P33" s="63">
        <v>-1.4758155345916748</v>
      </c>
      <c r="Q33" s="74">
        <v>64.477162096873087</v>
      </c>
      <c r="R33" s="66">
        <v>26.68087236157232</v>
      </c>
      <c r="S33" s="66">
        <v>6.2719030108678453</v>
      </c>
      <c r="T33" s="67">
        <v>2.5700625306867551</v>
      </c>
      <c r="U33" s="68">
        <v>0.90592086315155029</v>
      </c>
      <c r="V33" s="68">
        <v>-0.85277462005615234</v>
      </c>
      <c r="W33" s="69"/>
      <c r="X33" s="70">
        <v>19.01061887345659</v>
      </c>
      <c r="Y33" s="66">
        <v>8.0660271363180769</v>
      </c>
      <c r="Z33" s="66">
        <v>0</v>
      </c>
      <c r="AA33" s="66">
        <v>10.94459173713852</v>
      </c>
      <c r="AB33" s="66">
        <v>9.4820049771909964</v>
      </c>
      <c r="AC33" s="66">
        <v>6.6500492954451573</v>
      </c>
      <c r="AD33" s="66">
        <v>36.481972457128393</v>
      </c>
      <c r="AE33" s="70">
        <v>0</v>
      </c>
      <c r="AF33" s="66">
        <v>0</v>
      </c>
      <c r="AG33" s="66">
        <v>0</v>
      </c>
      <c r="AH33" s="66">
        <v>1.0664894222992971</v>
      </c>
      <c r="AI33" s="66">
        <v>18.504542890201151</v>
      </c>
      <c r="AJ33" s="66">
        <v>4.7425548496029357</v>
      </c>
      <c r="AK33" s="66">
        <v>3.554964740997657</v>
      </c>
      <c r="AL33" s="70">
        <v>22.097434518287859</v>
      </c>
      <c r="AM33" s="66">
        <v>6.8857147230648454</v>
      </c>
      <c r="AN33" s="66">
        <v>0</v>
      </c>
      <c r="AO33" s="66">
        <v>15.21171979522302</v>
      </c>
      <c r="AP33" s="66">
        <v>6.1627089393505159</v>
      </c>
      <c r="AQ33" s="71">
        <v>7.608720506779175</v>
      </c>
      <c r="AR33" s="71">
        <v>50.7057326507434</v>
      </c>
      <c r="AS33" s="111"/>
      <c r="AT33">
        <f t="shared" si="1"/>
        <v>0.7</v>
      </c>
      <c r="AU33" t="str">
        <f t="shared" si="0"/>
        <v>Bolivia (Plurinational State of)</v>
      </c>
    </row>
    <row r="34" spans="1:47">
      <c r="A34">
        <v>52</v>
      </c>
      <c r="B34" s="72" t="s">
        <v>293</v>
      </c>
      <c r="C34" s="73" t="s">
        <v>294</v>
      </c>
      <c r="D34" s="73">
        <v>2015</v>
      </c>
      <c r="E34" s="59">
        <v>94.782099235733824</v>
      </c>
      <c r="F34" s="60">
        <v>0.61619764238696739</v>
      </c>
      <c r="G34" s="60">
        <v>4.6017031218791988</v>
      </c>
      <c r="H34" s="61">
        <v>0</v>
      </c>
      <c r="I34" s="62">
        <v>-9.3966973945498466E-3</v>
      </c>
      <c r="J34" s="63">
        <v>-4.5095425099134445E-2</v>
      </c>
      <c r="K34" s="64">
        <v>92.038429615427319</v>
      </c>
      <c r="L34" s="60">
        <v>0.65921207037065332</v>
      </c>
      <c r="M34" s="65">
        <v>7.3023583142020243</v>
      </c>
      <c r="N34" s="61">
        <v>0</v>
      </c>
      <c r="O34" s="63">
        <v>-4.2763747274875641E-2</v>
      </c>
      <c r="P34" s="63">
        <v>-5.8197423815727234E-2</v>
      </c>
      <c r="Q34" s="74">
        <v>98.937792454732545</v>
      </c>
      <c r="R34" s="66">
        <v>0.55104593265926982</v>
      </c>
      <c r="S34" s="66">
        <v>0.51116161260817705</v>
      </c>
      <c r="T34" s="67">
        <v>0</v>
      </c>
      <c r="U34" s="68">
        <v>3.673211857676506E-2</v>
      </c>
      <c r="V34" s="68">
        <v>-2.4864092469215393E-2</v>
      </c>
      <c r="W34" s="69"/>
      <c r="X34" s="70">
        <v>23.07979338638361</v>
      </c>
      <c r="Y34" s="66">
        <v>22.114802438514101</v>
      </c>
      <c r="Z34" s="66">
        <v>0</v>
      </c>
      <c r="AA34" s="66">
        <v>0.96499094786951789</v>
      </c>
      <c r="AB34" s="66">
        <v>0</v>
      </c>
      <c r="AC34" s="66">
        <v>44.229604877028187</v>
      </c>
      <c r="AD34" s="66">
        <v>50.552494358705637</v>
      </c>
      <c r="AE34" s="70">
        <v>0</v>
      </c>
      <c r="AF34" s="66">
        <v>0</v>
      </c>
      <c r="AG34" s="66">
        <v>0</v>
      </c>
      <c r="AH34" s="66">
        <v>0.55289698260758258</v>
      </c>
      <c r="AI34" s="66">
        <v>0</v>
      </c>
      <c r="AJ34" s="66">
        <v>63.074094088836958</v>
      </c>
      <c r="AK34" s="66">
        <v>28.964335526590361</v>
      </c>
      <c r="AL34" s="70">
        <v>9.4093695137880964</v>
      </c>
      <c r="AM34" s="66">
        <v>7.8192797098527986</v>
      </c>
      <c r="AN34" s="66">
        <v>0</v>
      </c>
      <c r="AO34" s="66">
        <v>1.590089803935298</v>
      </c>
      <c r="AP34" s="66">
        <v>0</v>
      </c>
      <c r="AQ34" s="71">
        <v>15.638559419705601</v>
      </c>
      <c r="AR34" s="71">
        <v>83.299233035026958</v>
      </c>
      <c r="AS34" s="111"/>
      <c r="AT34">
        <f t="shared" si="1"/>
        <v>0.98091111111111107</v>
      </c>
      <c r="AU34" t="str">
        <f t="shared" si="0"/>
        <v>Bosnia and Herzegovina</v>
      </c>
    </row>
    <row r="35" spans="1:47">
      <c r="A35">
        <v>54</v>
      </c>
      <c r="B35" s="72" t="s">
        <v>295</v>
      </c>
      <c r="C35" s="73" t="s">
        <v>14</v>
      </c>
      <c r="D35" s="73">
        <v>2015</v>
      </c>
      <c r="E35" s="59">
        <v>59.955906338257101</v>
      </c>
      <c r="F35" s="60">
        <v>7.9186836886440792</v>
      </c>
      <c r="G35" s="60">
        <v>15.26874075125717</v>
      </c>
      <c r="H35" s="61">
        <v>16.856669221841649</v>
      </c>
      <c r="I35" s="62">
        <v>0.37631508708000183</v>
      </c>
      <c r="J35" s="63">
        <v>-0.29218816757202148</v>
      </c>
      <c r="K35" s="64">
        <v>39.469694442514907</v>
      </c>
      <c r="L35" s="60">
        <v>10.23513018100342</v>
      </c>
      <c r="M35" s="65">
        <v>13.80021555315534</v>
      </c>
      <c r="N35" s="61">
        <v>36.494959823326333</v>
      </c>
      <c r="O35" s="63">
        <v>0.32764080166816711</v>
      </c>
      <c r="P35" s="63">
        <v>-0.32171916961669922</v>
      </c>
      <c r="Q35" s="74">
        <v>75.132621633765851</v>
      </c>
      <c r="R35" s="66">
        <v>6.2026002520998906</v>
      </c>
      <c r="S35" s="66">
        <v>16.35666217613047</v>
      </c>
      <c r="T35" s="67">
        <v>2.308115938003795</v>
      </c>
      <c r="U35" s="68">
        <v>0.23035171627998352</v>
      </c>
      <c r="V35" s="68">
        <v>-8.5292443633079529E-2</v>
      </c>
      <c r="W35" s="69"/>
      <c r="X35" s="70">
        <v>0</v>
      </c>
      <c r="Y35" s="66">
        <v>0</v>
      </c>
      <c r="Z35" s="66">
        <v>0</v>
      </c>
      <c r="AA35" s="66">
        <v>0</v>
      </c>
      <c r="AB35" s="66">
        <v>55.947154702575922</v>
      </c>
      <c r="AC35" s="66">
        <v>4.0087516356811728</v>
      </c>
      <c r="AD35" s="66">
        <v>0</v>
      </c>
      <c r="AE35" s="70">
        <v>0</v>
      </c>
      <c r="AF35" s="66">
        <v>0</v>
      </c>
      <c r="AG35" s="66">
        <v>0</v>
      </c>
      <c r="AH35" s="66">
        <v>0</v>
      </c>
      <c r="AI35" s="66">
        <v>37.325673700022101</v>
      </c>
      <c r="AJ35" s="66">
        <v>2.1440207424928022</v>
      </c>
      <c r="AK35" s="66">
        <v>0</v>
      </c>
      <c r="AL35" s="70">
        <v>0</v>
      </c>
      <c r="AM35" s="66">
        <v>0</v>
      </c>
      <c r="AN35" s="66">
        <v>0</v>
      </c>
      <c r="AO35" s="66">
        <v>0</v>
      </c>
      <c r="AP35" s="66">
        <v>69.682553909585309</v>
      </c>
      <c r="AQ35" s="71">
        <v>5.4500677241805278</v>
      </c>
      <c r="AR35" s="71">
        <v>0</v>
      </c>
      <c r="AS35" s="111"/>
      <c r="AT35" t="e">
        <f t="shared" si="1"/>
        <v>#DIV/0!</v>
      </c>
      <c r="AU35" t="str">
        <f t="shared" si="0"/>
        <v>Botswana</v>
      </c>
    </row>
    <row r="36" spans="1:47">
      <c r="A36">
        <v>56</v>
      </c>
      <c r="B36" s="72" t="s">
        <v>296</v>
      </c>
      <c r="C36" s="73" t="s">
        <v>15</v>
      </c>
      <c r="D36" s="73">
        <v>2015</v>
      </c>
      <c r="E36" s="59">
        <v>86.148352051886761</v>
      </c>
      <c r="F36" s="60">
        <v>0.83556367471996262</v>
      </c>
      <c r="G36" s="60">
        <v>11.03338324268366</v>
      </c>
      <c r="H36" s="61">
        <v>1.982701030709614</v>
      </c>
      <c r="I36" s="62">
        <v>0.85913985967636108</v>
      </c>
      <c r="J36" s="63">
        <v>-0.4604562520980835</v>
      </c>
      <c r="K36" s="64">
        <v>57.988993083302759</v>
      </c>
      <c r="L36" s="60">
        <v>0.89766090746714533</v>
      </c>
      <c r="M36" s="65">
        <v>30.118394398530199</v>
      </c>
      <c r="N36" s="61">
        <v>10.9949516106999</v>
      </c>
      <c r="O36" s="63">
        <v>1.4844170808792114</v>
      </c>
      <c r="P36" s="63">
        <v>-1.5484931468963623</v>
      </c>
      <c r="Q36" s="74">
        <v>90.8520399499033</v>
      </c>
      <c r="R36" s="66">
        <v>0.82519106636268047</v>
      </c>
      <c r="S36" s="66">
        <v>7.8454578319021948</v>
      </c>
      <c r="T36" s="67">
        <v>0.47731115183182737</v>
      </c>
      <c r="U36" s="68">
        <v>0.59300315380096436</v>
      </c>
      <c r="V36" s="68">
        <v>-0.16959525644779205</v>
      </c>
      <c r="W36" s="69"/>
      <c r="X36" s="70">
        <v>38.644872644728977</v>
      </c>
      <c r="Y36" s="66">
        <v>11.26149980727484</v>
      </c>
      <c r="Z36" s="66">
        <v>0</v>
      </c>
      <c r="AA36" s="66">
        <v>27.383372837454139</v>
      </c>
      <c r="AB36" s="66">
        <v>8.7541757632247599</v>
      </c>
      <c r="AC36" s="66">
        <v>13.768823851324919</v>
      </c>
      <c r="AD36" s="66">
        <v>63.625352437337078</v>
      </c>
      <c r="AE36" s="70">
        <v>0</v>
      </c>
      <c r="AF36" s="66">
        <v>0</v>
      </c>
      <c r="AG36" s="66">
        <v>0</v>
      </c>
      <c r="AH36" s="66">
        <v>3.5625866098458272</v>
      </c>
      <c r="AI36" s="66">
        <v>25.107638856538362</v>
      </c>
      <c r="AJ36" s="66">
        <v>24.603673095755401</v>
      </c>
      <c r="AK36" s="66">
        <v>8.2776811310090039</v>
      </c>
      <c r="AL36" s="70">
        <v>40.350563265026132</v>
      </c>
      <c r="AM36" s="66">
        <v>8.972463494821783</v>
      </c>
      <c r="AN36" s="66">
        <v>0</v>
      </c>
      <c r="AO36" s="66">
        <v>31.37809977020434</v>
      </c>
      <c r="AP36" s="66">
        <v>6.0021758097632034</v>
      </c>
      <c r="AQ36" s="71">
        <v>11.942751179880361</v>
      </c>
      <c r="AR36" s="71">
        <v>72.907112960259724</v>
      </c>
      <c r="AS36" s="111"/>
      <c r="AT36">
        <f t="shared" si="1"/>
        <v>0.56961538461538119</v>
      </c>
      <c r="AU36" t="str">
        <f t="shared" si="0"/>
        <v>Brazil</v>
      </c>
    </row>
    <row r="37" spans="1:47">
      <c r="A37">
        <v>58</v>
      </c>
      <c r="B37" s="72" t="s">
        <v>297</v>
      </c>
      <c r="C37" s="73" t="s">
        <v>16</v>
      </c>
      <c r="D37" s="73">
        <v>2015</v>
      </c>
      <c r="E37" s="59">
        <v>96.857979483676743</v>
      </c>
      <c r="F37" s="60">
        <v>0</v>
      </c>
      <c r="G37" s="60">
        <v>3.1420205163232571</v>
      </c>
      <c r="H37" s="61">
        <v>0</v>
      </c>
      <c r="I37" s="62">
        <v>4.8520723357796669E-3</v>
      </c>
      <c r="J37" s="63">
        <v>-5.9999998658895493E-2</v>
      </c>
      <c r="K37" s="64">
        <v>0</v>
      </c>
      <c r="L37" s="60">
        <v>0</v>
      </c>
      <c r="M37" s="65">
        <v>0</v>
      </c>
      <c r="N37" s="61">
        <v>0</v>
      </c>
      <c r="O37" s="63">
        <v>0</v>
      </c>
      <c r="P37" s="63">
        <v>0</v>
      </c>
      <c r="Q37" s="74">
        <v>0</v>
      </c>
      <c r="R37" s="66">
        <v>0</v>
      </c>
      <c r="S37" s="66">
        <v>0</v>
      </c>
      <c r="T37" s="67">
        <v>0</v>
      </c>
      <c r="U37" s="68">
        <v>0</v>
      </c>
      <c r="V37" s="68">
        <v>0</v>
      </c>
      <c r="W37" s="69"/>
      <c r="X37" s="70">
        <v>0</v>
      </c>
      <c r="Y37" s="66">
        <v>0</v>
      </c>
      <c r="Z37" s="66">
        <v>0</v>
      </c>
      <c r="AA37" s="66">
        <v>0</v>
      </c>
      <c r="AB37" s="66">
        <v>1.5298637726254609</v>
      </c>
      <c r="AC37" s="66">
        <v>73.099583855095602</v>
      </c>
      <c r="AD37" s="66">
        <v>22.22853185595568</v>
      </c>
      <c r="AE37" s="70">
        <v>0</v>
      </c>
      <c r="AF37" s="66">
        <v>0</v>
      </c>
      <c r="AG37" s="66">
        <v>0</v>
      </c>
      <c r="AH37" s="66">
        <v>0</v>
      </c>
      <c r="AI37" s="66">
        <v>0</v>
      </c>
      <c r="AJ37" s="66">
        <v>0</v>
      </c>
      <c r="AK37" s="66">
        <v>0</v>
      </c>
      <c r="AL37" s="70">
        <v>0</v>
      </c>
      <c r="AM37" s="66">
        <v>0</v>
      </c>
      <c r="AN37" s="66">
        <v>0</v>
      </c>
      <c r="AO37" s="66">
        <v>0</v>
      </c>
      <c r="AP37" s="66">
        <v>0</v>
      </c>
      <c r="AQ37" s="71">
        <v>0</v>
      </c>
      <c r="AR37" s="71">
        <v>0</v>
      </c>
      <c r="AS37" s="111"/>
      <c r="AT37">
        <f t="shared" si="1"/>
        <v>1</v>
      </c>
      <c r="AU37" t="str">
        <f t="shared" si="0"/>
        <v>British Virgin Islands</v>
      </c>
    </row>
    <row r="38" spans="1:47">
      <c r="A38">
        <v>60</v>
      </c>
      <c r="B38" s="72" t="s">
        <v>298</v>
      </c>
      <c r="C38" s="73" t="s">
        <v>17</v>
      </c>
      <c r="D38" s="73">
        <v>2015</v>
      </c>
      <c r="E38" s="59">
        <v>96.330405216674421</v>
      </c>
      <c r="F38" s="60">
        <v>0</v>
      </c>
      <c r="G38" s="60">
        <v>1.071150783325578</v>
      </c>
      <c r="H38" s="61">
        <v>2.5984440000000002</v>
      </c>
      <c r="I38" s="62">
        <v>0</v>
      </c>
      <c r="J38" s="63">
        <v>0</v>
      </c>
      <c r="K38" s="64">
        <v>97.338378793699576</v>
      </c>
      <c r="L38" s="60">
        <v>0</v>
      </c>
      <c r="M38" s="65">
        <v>1.761621206300424</v>
      </c>
      <c r="N38" s="61">
        <v>0.9</v>
      </c>
      <c r="O38" s="63">
        <v>0</v>
      </c>
      <c r="P38" s="63">
        <v>0</v>
      </c>
      <c r="Q38" s="74">
        <v>96.032747363134106</v>
      </c>
      <c r="R38" s="66">
        <v>0</v>
      </c>
      <c r="S38" s="66">
        <v>0.86725263686589349</v>
      </c>
      <c r="T38" s="67">
        <v>3.1</v>
      </c>
      <c r="U38" s="68">
        <v>0</v>
      </c>
      <c r="V38" s="68">
        <v>0</v>
      </c>
      <c r="W38" s="69"/>
      <c r="X38" s="70">
        <v>0</v>
      </c>
      <c r="Y38" s="66">
        <v>0</v>
      </c>
      <c r="Z38" s="66">
        <v>0</v>
      </c>
      <c r="AA38" s="66">
        <v>0</v>
      </c>
      <c r="AB38" s="66">
        <v>1.0392132166744119</v>
      </c>
      <c r="AC38" s="66">
        <v>0</v>
      </c>
      <c r="AD38" s="66">
        <v>95.291192000000009</v>
      </c>
      <c r="AE38" s="70">
        <v>0</v>
      </c>
      <c r="AF38" s="66">
        <v>0</v>
      </c>
      <c r="AG38" s="66">
        <v>0</v>
      </c>
      <c r="AH38" s="66">
        <v>0</v>
      </c>
      <c r="AI38" s="66">
        <v>1.738378793699582</v>
      </c>
      <c r="AJ38" s="66">
        <v>0</v>
      </c>
      <c r="AK38" s="66">
        <v>95.6</v>
      </c>
      <c r="AL38" s="70">
        <v>0</v>
      </c>
      <c r="AM38" s="66">
        <v>0</v>
      </c>
      <c r="AN38" s="66">
        <v>0</v>
      </c>
      <c r="AO38" s="66">
        <v>0</v>
      </c>
      <c r="AP38" s="66">
        <v>0.83274736313410358</v>
      </c>
      <c r="AQ38" s="71">
        <v>0</v>
      </c>
      <c r="AR38" s="71">
        <v>95.2</v>
      </c>
      <c r="AS38" s="111"/>
      <c r="AT38">
        <f t="shared" si="1"/>
        <v>1</v>
      </c>
      <c r="AU38" t="str">
        <f t="shared" si="0"/>
        <v>Brunei Darussalam</v>
      </c>
    </row>
    <row r="39" spans="1:47">
      <c r="A39">
        <v>62</v>
      </c>
      <c r="B39" s="72" t="s">
        <v>299</v>
      </c>
      <c r="C39" s="73" t="s">
        <v>18</v>
      </c>
      <c r="D39" s="73">
        <v>2015</v>
      </c>
      <c r="E39" s="59">
        <v>85.981112314425658</v>
      </c>
      <c r="F39" s="60">
        <v>14.01774358712132</v>
      </c>
      <c r="G39" s="60">
        <v>1.1440984530135001E-3</v>
      </c>
      <c r="H39" s="61">
        <v>0</v>
      </c>
      <c r="I39" s="62">
        <v>1.0250610299408436E-2</v>
      </c>
      <c r="J39" s="63">
        <v>0</v>
      </c>
      <c r="K39" s="64">
        <v>83.7123986852082</v>
      </c>
      <c r="L39" s="60">
        <v>16.283209719317309</v>
      </c>
      <c r="M39" s="65">
        <v>4.3915954744875004E-3</v>
      </c>
      <c r="N39" s="61">
        <v>0</v>
      </c>
      <c r="O39" s="63">
        <v>-2.4509808281436563E-4</v>
      </c>
      <c r="P39" s="63">
        <v>0</v>
      </c>
      <c r="Q39" s="74">
        <v>86.780383795309177</v>
      </c>
      <c r="R39" s="66">
        <v>13.21961620469083</v>
      </c>
      <c r="S39" s="66">
        <v>0</v>
      </c>
      <c r="T39" s="67">
        <v>0</v>
      </c>
      <c r="U39" s="68">
        <v>0</v>
      </c>
      <c r="V39" s="68">
        <v>0</v>
      </c>
      <c r="W39" s="69"/>
      <c r="X39" s="70">
        <v>48.855093750046201</v>
      </c>
      <c r="Y39" s="66">
        <v>9.9103697387166623</v>
      </c>
      <c r="Z39" s="66">
        <v>0</v>
      </c>
      <c r="AA39" s="66">
        <v>38.944724011329541</v>
      </c>
      <c r="AB39" s="66">
        <v>19.820739477433332</v>
      </c>
      <c r="AC39" s="66">
        <v>0</v>
      </c>
      <c r="AD39" s="66">
        <v>66.160372836992352</v>
      </c>
      <c r="AE39" s="70">
        <v>0</v>
      </c>
      <c r="AF39" s="66">
        <v>0</v>
      </c>
      <c r="AG39" s="66">
        <v>0</v>
      </c>
      <c r="AH39" s="66">
        <v>14.83412329514311</v>
      </c>
      <c r="AI39" s="66">
        <v>58.51178030026162</v>
      </c>
      <c r="AJ39" s="66">
        <v>0</v>
      </c>
      <c r="AK39" s="66">
        <v>25.20061838494658</v>
      </c>
      <c r="AL39" s="70">
        <v>50.578663767539268</v>
      </c>
      <c r="AM39" s="66">
        <v>2.8420692612689851</v>
      </c>
      <c r="AN39" s="66">
        <v>0</v>
      </c>
      <c r="AO39" s="66">
        <v>47.736594506270293</v>
      </c>
      <c r="AP39" s="66">
        <v>5.6841385225379701</v>
      </c>
      <c r="AQ39" s="71">
        <v>0</v>
      </c>
      <c r="AR39" s="71">
        <v>81.096245272771213</v>
      </c>
      <c r="AS39" s="111"/>
      <c r="AT39">
        <f t="shared" si="1"/>
        <v>0.41135875840236624</v>
      </c>
      <c r="AU39" t="str">
        <f t="shared" si="0"/>
        <v>Bulgaria</v>
      </c>
    </row>
    <row r="40" spans="1:47">
      <c r="A40">
        <v>64</v>
      </c>
      <c r="B40" s="72" t="s">
        <v>300</v>
      </c>
      <c r="C40" s="73" t="s">
        <v>19</v>
      </c>
      <c r="D40" s="73">
        <v>2015</v>
      </c>
      <c r="E40" s="59">
        <v>22.532081183706389</v>
      </c>
      <c r="F40" s="60">
        <v>24.347554169779709</v>
      </c>
      <c r="G40" s="60">
        <v>5.1440795154081842</v>
      </c>
      <c r="H40" s="61">
        <v>47.976285131105719</v>
      </c>
      <c r="I40" s="62">
        <v>0.86259138584136963</v>
      </c>
      <c r="J40" s="63">
        <v>-1.5629936456680298</v>
      </c>
      <c r="K40" s="64">
        <v>11.80753712119124</v>
      </c>
      <c r="L40" s="60">
        <v>17.669552242824441</v>
      </c>
      <c r="M40" s="65">
        <v>5.2051342905369893</v>
      </c>
      <c r="N40" s="61">
        <v>65.317776345447328</v>
      </c>
      <c r="O40" s="63">
        <v>0.64855808019638062</v>
      </c>
      <c r="P40" s="63">
        <v>-1.306639552116394</v>
      </c>
      <c r="Q40" s="74">
        <v>47.724828599523221</v>
      </c>
      <c r="R40" s="66">
        <v>40.034674741753633</v>
      </c>
      <c r="S40" s="66">
        <v>5.000657331734601</v>
      </c>
      <c r="T40" s="67">
        <v>7.2398393269885446</v>
      </c>
      <c r="U40" s="68">
        <v>0.23573468625545502</v>
      </c>
      <c r="V40" s="68">
        <v>-0.13621720671653748</v>
      </c>
      <c r="W40" s="69"/>
      <c r="X40" s="70">
        <v>0</v>
      </c>
      <c r="Y40" s="66">
        <v>0</v>
      </c>
      <c r="Z40" s="66">
        <v>0</v>
      </c>
      <c r="AA40" s="66">
        <v>0</v>
      </c>
      <c r="AB40" s="66">
        <v>21.21725914461484</v>
      </c>
      <c r="AC40" s="66">
        <v>0.91501030868437161</v>
      </c>
      <c r="AD40" s="66">
        <v>0.39981173040717211</v>
      </c>
      <c r="AE40" s="70">
        <v>0</v>
      </c>
      <c r="AF40" s="66">
        <v>0</v>
      </c>
      <c r="AG40" s="66">
        <v>0</v>
      </c>
      <c r="AH40" s="66">
        <v>0</v>
      </c>
      <c r="AI40" s="66">
        <v>11.651613099195981</v>
      </c>
      <c r="AJ40" s="66">
        <v>0.1559240219952564</v>
      </c>
      <c r="AK40" s="66">
        <v>0</v>
      </c>
      <c r="AL40" s="70">
        <v>0</v>
      </c>
      <c r="AM40" s="66">
        <v>0</v>
      </c>
      <c r="AN40" s="66">
        <v>0</v>
      </c>
      <c r="AO40" s="66">
        <v>0</v>
      </c>
      <c r="AP40" s="66">
        <v>43.239848129080812</v>
      </c>
      <c r="AQ40" s="71">
        <v>2.96997775429988</v>
      </c>
      <c r="AR40" s="71">
        <v>1.5150027161425259</v>
      </c>
      <c r="AS40" s="111"/>
      <c r="AT40">
        <f t="shared" si="1"/>
        <v>1</v>
      </c>
      <c r="AU40" t="str">
        <f t="shared" si="0"/>
        <v>Burkina Faso</v>
      </c>
    </row>
    <row r="41" spans="1:47">
      <c r="A41">
        <v>66</v>
      </c>
      <c r="B41" s="72" t="s">
        <v>301</v>
      </c>
      <c r="C41" s="73" t="s">
        <v>20</v>
      </c>
      <c r="D41" s="73">
        <v>2015</v>
      </c>
      <c r="E41" s="59">
        <v>50.460317065946207</v>
      </c>
      <c r="F41" s="60">
        <v>10.55362366876785</v>
      </c>
      <c r="G41" s="60">
        <v>35.850573277776647</v>
      </c>
      <c r="H41" s="61">
        <v>3.1354859875092931</v>
      </c>
      <c r="I41" s="62">
        <v>0.60062342882156372</v>
      </c>
      <c r="J41" s="63">
        <v>4.2989376932382584E-2</v>
      </c>
      <c r="K41" s="64">
        <v>51.061113172345209</v>
      </c>
      <c r="L41" s="60">
        <v>6.4915854468894532</v>
      </c>
      <c r="M41" s="65">
        <v>39.024370146899543</v>
      </c>
      <c r="N41" s="61">
        <v>3.4229312338657958</v>
      </c>
      <c r="O41" s="63">
        <v>0.59565144777297974</v>
      </c>
      <c r="P41" s="63">
        <v>5.8825857937335968E-2</v>
      </c>
      <c r="Q41" s="74">
        <v>46.078148036747628</v>
      </c>
      <c r="R41" s="66">
        <v>40.181875086753379</v>
      </c>
      <c r="S41" s="66">
        <v>12.701098444793789</v>
      </c>
      <c r="T41" s="67">
        <v>1.0388784317052</v>
      </c>
      <c r="U41" s="68">
        <v>0.80947685241699219</v>
      </c>
      <c r="V41" s="68">
        <v>-5.976979061961174E-2</v>
      </c>
      <c r="W41" s="69"/>
      <c r="X41" s="70">
        <v>0</v>
      </c>
      <c r="Y41" s="66">
        <v>0</v>
      </c>
      <c r="Z41" s="66">
        <v>0</v>
      </c>
      <c r="AA41" s="66">
        <v>0</v>
      </c>
      <c r="AB41" s="66">
        <v>47.694043609596683</v>
      </c>
      <c r="AC41" s="66">
        <v>2.1604879160115069</v>
      </c>
      <c r="AD41" s="66">
        <v>0.60578554033801946</v>
      </c>
      <c r="AE41" s="70">
        <v>0</v>
      </c>
      <c r="AF41" s="66">
        <v>0</v>
      </c>
      <c r="AG41" s="66">
        <v>0</v>
      </c>
      <c r="AH41" s="66">
        <v>0</v>
      </c>
      <c r="AI41" s="66">
        <v>51.061113172345209</v>
      </c>
      <c r="AJ41" s="66">
        <v>0</v>
      </c>
      <c r="AK41" s="66">
        <v>0</v>
      </c>
      <c r="AL41" s="70">
        <v>0</v>
      </c>
      <c r="AM41" s="66">
        <v>0</v>
      </c>
      <c r="AN41" s="66">
        <v>0</v>
      </c>
      <c r="AO41" s="66">
        <v>0</v>
      </c>
      <c r="AP41" s="66">
        <v>31.259096961798718</v>
      </c>
      <c r="AQ41" s="71">
        <v>11.573830743557229</v>
      </c>
      <c r="AR41" s="71">
        <v>3.2452203313916872</v>
      </c>
      <c r="AS41" s="111"/>
      <c r="AT41">
        <f t="shared" si="1"/>
        <v>1</v>
      </c>
      <c r="AU41" t="str">
        <f t="shared" si="0"/>
        <v>Burundi</v>
      </c>
    </row>
    <row r="42" spans="1:47">
      <c r="A42">
        <v>68</v>
      </c>
      <c r="B42" s="72" t="s">
        <v>302</v>
      </c>
      <c r="C42" s="73" t="s">
        <v>21</v>
      </c>
      <c r="D42" s="73">
        <v>2015</v>
      </c>
      <c r="E42" s="59">
        <v>65.206963890117123</v>
      </c>
      <c r="F42" s="60">
        <v>6.7091010432423781</v>
      </c>
      <c r="G42" s="60">
        <v>0</v>
      </c>
      <c r="H42" s="61">
        <v>28.08393506664051</v>
      </c>
      <c r="I42" s="62">
        <v>1.8478744029998779</v>
      </c>
      <c r="J42" s="63">
        <v>0.32142341136932373</v>
      </c>
      <c r="K42" s="64">
        <v>50.595968394956593</v>
      </c>
      <c r="L42" s="60">
        <v>2.859888335055655</v>
      </c>
      <c r="M42" s="65">
        <v>0</v>
      </c>
      <c r="N42" s="61">
        <v>46.544143269987757</v>
      </c>
      <c r="O42" s="63">
        <v>1.8542194366455078</v>
      </c>
      <c r="P42" s="63">
        <v>1.0545430183410645</v>
      </c>
      <c r="Q42" s="74">
        <v>72.893980626987428</v>
      </c>
      <c r="R42" s="66">
        <v>8.7342171635919978</v>
      </c>
      <c r="S42" s="66">
        <v>0</v>
      </c>
      <c r="T42" s="67">
        <v>18.371802209420569</v>
      </c>
      <c r="U42" s="68">
        <v>1.5059796571731567</v>
      </c>
      <c r="V42" s="68">
        <v>0.10753863304853439</v>
      </c>
      <c r="W42" s="69"/>
      <c r="X42" s="70">
        <v>0</v>
      </c>
      <c r="Y42" s="66">
        <v>0</v>
      </c>
      <c r="Z42" s="66">
        <v>0</v>
      </c>
      <c r="AA42" s="66">
        <v>0</v>
      </c>
      <c r="AB42" s="66">
        <v>0</v>
      </c>
      <c r="AC42" s="66">
        <v>45.333104298019542</v>
      </c>
      <c r="AD42" s="66">
        <v>19.873859592097581</v>
      </c>
      <c r="AE42" s="70">
        <v>0</v>
      </c>
      <c r="AF42" s="66">
        <v>0</v>
      </c>
      <c r="AG42" s="66">
        <v>0</v>
      </c>
      <c r="AH42" s="66">
        <v>0</v>
      </c>
      <c r="AI42" s="66">
        <v>0</v>
      </c>
      <c r="AJ42" s="66">
        <v>49.503542828373348</v>
      </c>
      <c r="AK42" s="66">
        <v>1.092425566583251</v>
      </c>
      <c r="AL42" s="70">
        <v>0</v>
      </c>
      <c r="AM42" s="66">
        <v>0</v>
      </c>
      <c r="AN42" s="66">
        <v>0</v>
      </c>
      <c r="AO42" s="66">
        <v>0</v>
      </c>
      <c r="AP42" s="66">
        <v>0</v>
      </c>
      <c r="AQ42" s="71">
        <v>43.565081218913789</v>
      </c>
      <c r="AR42" s="71">
        <v>29.328899408073632</v>
      </c>
      <c r="AS42" s="111"/>
      <c r="AT42">
        <f t="shared" si="1"/>
        <v>1</v>
      </c>
      <c r="AU42" t="str">
        <f t="shared" si="0"/>
        <v>Cabo Verde</v>
      </c>
    </row>
    <row r="43" spans="1:47">
      <c r="A43">
        <v>70</v>
      </c>
      <c r="B43" s="72" t="s">
        <v>303</v>
      </c>
      <c r="C43" s="73" t="s">
        <v>22</v>
      </c>
      <c r="D43" s="73">
        <v>2015</v>
      </c>
      <c r="E43" s="59">
        <v>48.825449273950298</v>
      </c>
      <c r="F43" s="60">
        <v>7.6318636977690213</v>
      </c>
      <c r="G43" s="60">
        <v>2.9734866625515002</v>
      </c>
      <c r="H43" s="61">
        <v>40.569200365729188</v>
      </c>
      <c r="I43" s="62">
        <v>2.4375903606414795</v>
      </c>
      <c r="J43" s="63">
        <v>-2.8108310699462891</v>
      </c>
      <c r="K43" s="64">
        <v>38.578236870222597</v>
      </c>
      <c r="L43" s="60">
        <v>7.3821696169438384</v>
      </c>
      <c r="M43" s="65">
        <v>3.5205959834120222</v>
      </c>
      <c r="N43" s="61">
        <v>50.51899752942154</v>
      </c>
      <c r="O43" s="63">
        <v>2.3121368885040283</v>
      </c>
      <c r="P43" s="63">
        <v>-2.7639837265014648</v>
      </c>
      <c r="Q43" s="74">
        <v>88.026735657693976</v>
      </c>
      <c r="R43" s="66">
        <v>8.5870824231262617</v>
      </c>
      <c r="S43" s="66">
        <v>0.88048923795759038</v>
      </c>
      <c r="T43" s="67">
        <v>2.5056926812221718</v>
      </c>
      <c r="U43" s="68">
        <v>2.6080901622772217</v>
      </c>
      <c r="V43" s="68">
        <v>-2.6480066776275635</v>
      </c>
      <c r="W43" s="69"/>
      <c r="X43" s="70">
        <v>0</v>
      </c>
      <c r="Y43" s="66">
        <v>0</v>
      </c>
      <c r="Z43" s="66">
        <v>0</v>
      </c>
      <c r="AA43" s="66">
        <v>0</v>
      </c>
      <c r="AB43" s="66">
        <v>0.16804264221375331</v>
      </c>
      <c r="AC43" s="66">
        <v>37.784782092936247</v>
      </c>
      <c r="AD43" s="66">
        <v>10.87262453880029</v>
      </c>
      <c r="AE43" s="70">
        <v>0</v>
      </c>
      <c r="AF43" s="66">
        <v>0</v>
      </c>
      <c r="AG43" s="66">
        <v>0</v>
      </c>
      <c r="AH43" s="66">
        <v>0</v>
      </c>
      <c r="AI43" s="66">
        <v>0.11392646859540539</v>
      </c>
      <c r="AJ43" s="66">
        <v>35.720092769441059</v>
      </c>
      <c r="AK43" s="66">
        <v>2.7442176321861349</v>
      </c>
      <c r="AL43" s="70">
        <v>0</v>
      </c>
      <c r="AM43" s="66">
        <v>0</v>
      </c>
      <c r="AN43" s="66">
        <v>0</v>
      </c>
      <c r="AO43" s="66">
        <v>0</v>
      </c>
      <c r="AP43" s="66">
        <v>0.38122976631664612</v>
      </c>
      <c r="AQ43" s="71">
        <v>43.765620861745418</v>
      </c>
      <c r="AR43" s="71">
        <v>43.8798850296319</v>
      </c>
      <c r="AS43" s="111"/>
      <c r="AT43">
        <f t="shared" si="1"/>
        <v>1</v>
      </c>
      <c r="AU43" t="str">
        <f t="shared" si="0"/>
        <v>Cambodia</v>
      </c>
    </row>
    <row r="44" spans="1:47">
      <c r="A44">
        <v>72</v>
      </c>
      <c r="B44" s="72" t="s">
        <v>304</v>
      </c>
      <c r="C44" s="73" t="s">
        <v>23</v>
      </c>
      <c r="D44" s="73">
        <v>2015</v>
      </c>
      <c r="E44" s="59">
        <v>38.834985133672227</v>
      </c>
      <c r="F44" s="60">
        <v>18.439790422436879</v>
      </c>
      <c r="G44" s="60">
        <v>35.644374968609483</v>
      </c>
      <c r="H44" s="61">
        <v>7.0808494752814131</v>
      </c>
      <c r="I44" s="62">
        <v>-6.279301643371582E-2</v>
      </c>
      <c r="J44" s="63">
        <v>-2.1665850654244423E-2</v>
      </c>
      <c r="K44" s="64">
        <v>18.89177391717471</v>
      </c>
      <c r="L44" s="60">
        <v>7.3694132823332401</v>
      </c>
      <c r="M44" s="65">
        <v>59.756081066410758</v>
      </c>
      <c r="N44" s="61">
        <v>13.98273173408128</v>
      </c>
      <c r="O44" s="63">
        <v>-0.49208304286003113</v>
      </c>
      <c r="P44" s="63">
        <v>7.5744286179542542E-2</v>
      </c>
      <c r="Q44" s="74">
        <v>55.564897281028848</v>
      </c>
      <c r="R44" s="66">
        <v>27.726481265826799</v>
      </c>
      <c r="S44" s="66">
        <v>15.417606051605439</v>
      </c>
      <c r="T44" s="67">
        <v>1.291015401538907</v>
      </c>
      <c r="U44" s="68">
        <v>-2.3971114307641983E-2</v>
      </c>
      <c r="V44" s="68">
        <v>2.6071274653077126E-2</v>
      </c>
      <c r="W44" s="69"/>
      <c r="X44" s="70">
        <v>0</v>
      </c>
      <c r="Y44" s="66">
        <v>0</v>
      </c>
      <c r="Z44" s="66">
        <v>0</v>
      </c>
      <c r="AA44" s="66">
        <v>0</v>
      </c>
      <c r="AB44" s="66">
        <v>30.185022234097019</v>
      </c>
      <c r="AC44" s="66">
        <v>8.3512382964617302</v>
      </c>
      <c r="AD44" s="66">
        <v>0.2987246031134842</v>
      </c>
      <c r="AE44" s="70">
        <v>0</v>
      </c>
      <c r="AF44" s="66">
        <v>0</v>
      </c>
      <c r="AG44" s="66">
        <v>0</v>
      </c>
      <c r="AH44" s="66">
        <v>0</v>
      </c>
      <c r="AI44" s="66">
        <v>18.251541147614581</v>
      </c>
      <c r="AJ44" s="66">
        <v>0.61515558438076867</v>
      </c>
      <c r="AK44" s="66">
        <v>2.5077185179365798E-2</v>
      </c>
      <c r="AL44" s="70">
        <v>0</v>
      </c>
      <c r="AM44" s="66">
        <v>0</v>
      </c>
      <c r="AN44" s="66">
        <v>0</v>
      </c>
      <c r="AO44" s="66">
        <v>0</v>
      </c>
      <c r="AP44" s="66">
        <v>40.41319039621019</v>
      </c>
      <c r="AQ44" s="71">
        <v>14.63075398469066</v>
      </c>
      <c r="AR44" s="71">
        <v>0.52095290012800299</v>
      </c>
      <c r="AS44" s="111"/>
      <c r="AT44">
        <f t="shared" si="1"/>
        <v>1</v>
      </c>
      <c r="AU44" t="str">
        <f t="shared" si="0"/>
        <v>Cameroon</v>
      </c>
    </row>
    <row r="45" spans="1:47">
      <c r="A45">
        <v>74</v>
      </c>
      <c r="B45" s="72" t="s">
        <v>305</v>
      </c>
      <c r="C45" s="73" t="s">
        <v>24</v>
      </c>
      <c r="D45" s="73">
        <v>2015</v>
      </c>
      <c r="E45" s="59">
        <v>98.5</v>
      </c>
      <c r="F45" s="60">
        <v>0</v>
      </c>
      <c r="G45" s="60">
        <v>1.5</v>
      </c>
      <c r="H45" s="61">
        <v>0</v>
      </c>
      <c r="I45" s="62">
        <v>0</v>
      </c>
      <c r="J45" s="63">
        <v>0</v>
      </c>
      <c r="K45" s="64">
        <v>0</v>
      </c>
      <c r="L45" s="60">
        <v>0</v>
      </c>
      <c r="M45" s="65">
        <v>0</v>
      </c>
      <c r="N45" s="61">
        <v>0</v>
      </c>
      <c r="O45" s="63">
        <v>0</v>
      </c>
      <c r="P45" s="63">
        <v>0</v>
      </c>
      <c r="Q45" s="74">
        <v>0</v>
      </c>
      <c r="R45" s="66">
        <v>0</v>
      </c>
      <c r="S45" s="66">
        <v>0</v>
      </c>
      <c r="T45" s="67">
        <v>0</v>
      </c>
      <c r="U45" s="68">
        <v>0</v>
      </c>
      <c r="V45" s="68">
        <v>0</v>
      </c>
      <c r="W45" s="69"/>
      <c r="X45" s="70">
        <v>76.783987900251319</v>
      </c>
      <c r="Y45" s="66">
        <v>7.9342105263158373</v>
      </c>
      <c r="Z45" s="66">
        <v>0</v>
      </c>
      <c r="AA45" s="66">
        <v>68.849777373935481</v>
      </c>
      <c r="AB45" s="66">
        <v>1.4999999999999949</v>
      </c>
      <c r="AC45" s="66">
        <v>14.36842105263168</v>
      </c>
      <c r="AD45" s="66">
        <v>82.631578947368325</v>
      </c>
      <c r="AE45" s="70">
        <v>0</v>
      </c>
      <c r="AF45" s="66">
        <v>0</v>
      </c>
      <c r="AG45" s="66">
        <v>0</v>
      </c>
      <c r="AH45" s="66">
        <v>0</v>
      </c>
      <c r="AI45" s="66">
        <v>0</v>
      </c>
      <c r="AJ45" s="66">
        <v>0</v>
      </c>
      <c r="AK45" s="66">
        <v>0</v>
      </c>
      <c r="AL45" s="70">
        <v>0</v>
      </c>
      <c r="AM45" s="66">
        <v>0</v>
      </c>
      <c r="AN45" s="66">
        <v>0</v>
      </c>
      <c r="AO45" s="66">
        <v>0</v>
      </c>
      <c r="AP45" s="66">
        <v>0</v>
      </c>
      <c r="AQ45" s="71">
        <v>0</v>
      </c>
      <c r="AR45" s="71">
        <v>0</v>
      </c>
      <c r="AS45" s="111"/>
      <c r="AT45">
        <f t="shared" si="1"/>
        <v>0.16678613369122569</v>
      </c>
      <c r="AU45" t="str">
        <f t="shared" si="0"/>
        <v>Canada</v>
      </c>
    </row>
    <row r="46" spans="1:47">
      <c r="A46">
        <v>76</v>
      </c>
      <c r="B46" s="72" t="s">
        <v>306</v>
      </c>
      <c r="C46" s="73" t="s">
        <v>25</v>
      </c>
      <c r="D46" s="73">
        <v>2015</v>
      </c>
      <c r="E46" s="59">
        <v>0</v>
      </c>
      <c r="F46" s="60">
        <v>0</v>
      </c>
      <c r="G46" s="60">
        <v>0</v>
      </c>
      <c r="H46" s="61">
        <v>0</v>
      </c>
      <c r="I46" s="62">
        <v>0</v>
      </c>
      <c r="J46" s="63">
        <v>0</v>
      </c>
      <c r="K46" s="64">
        <v>0</v>
      </c>
      <c r="L46" s="60">
        <v>0</v>
      </c>
      <c r="M46" s="65">
        <v>0</v>
      </c>
      <c r="N46" s="61">
        <v>0</v>
      </c>
      <c r="O46" s="63">
        <v>0</v>
      </c>
      <c r="P46" s="63">
        <v>0</v>
      </c>
      <c r="Q46" s="74">
        <v>0</v>
      </c>
      <c r="R46" s="66">
        <v>0</v>
      </c>
      <c r="S46" s="66">
        <v>0</v>
      </c>
      <c r="T46" s="67">
        <v>0</v>
      </c>
      <c r="U46" s="68">
        <v>0</v>
      </c>
      <c r="V46" s="68">
        <v>0</v>
      </c>
      <c r="W46" s="69"/>
      <c r="X46" s="70">
        <v>0</v>
      </c>
      <c r="Y46" s="66">
        <v>0</v>
      </c>
      <c r="Z46" s="66">
        <v>0</v>
      </c>
      <c r="AA46" s="66">
        <v>0</v>
      </c>
      <c r="AB46" s="66">
        <v>0</v>
      </c>
      <c r="AC46" s="66">
        <v>0</v>
      </c>
      <c r="AD46" s="66">
        <v>0</v>
      </c>
      <c r="AE46" s="70">
        <v>0</v>
      </c>
      <c r="AF46" s="66">
        <v>0</v>
      </c>
      <c r="AG46" s="66">
        <v>0</v>
      </c>
      <c r="AH46" s="66">
        <v>0</v>
      </c>
      <c r="AI46" s="66">
        <v>0</v>
      </c>
      <c r="AJ46" s="66">
        <v>0</v>
      </c>
      <c r="AK46" s="66">
        <v>0</v>
      </c>
      <c r="AL46" s="70">
        <v>0</v>
      </c>
      <c r="AM46" s="66">
        <v>0</v>
      </c>
      <c r="AN46" s="66">
        <v>0</v>
      </c>
      <c r="AO46" s="66">
        <v>0</v>
      </c>
      <c r="AP46" s="66">
        <v>0</v>
      </c>
      <c r="AQ46" s="71">
        <v>0</v>
      </c>
      <c r="AR46" s="71">
        <v>0</v>
      </c>
      <c r="AS46" s="111"/>
      <c r="AT46" t="e">
        <f t="shared" si="1"/>
        <v>#DIV/0!</v>
      </c>
      <c r="AU46" t="str">
        <f t="shared" si="0"/>
        <v>Caribbean Netherlands</v>
      </c>
    </row>
    <row r="47" spans="1:47">
      <c r="A47">
        <v>78</v>
      </c>
      <c r="B47" s="72" t="s">
        <v>307</v>
      </c>
      <c r="C47" s="73" t="s">
        <v>26</v>
      </c>
      <c r="D47" s="73">
        <v>2015</v>
      </c>
      <c r="E47" s="59">
        <v>95.55</v>
      </c>
      <c r="F47" s="60">
        <v>0</v>
      </c>
      <c r="G47" s="60">
        <v>4.4500000000000028</v>
      </c>
      <c r="H47" s="61">
        <v>0</v>
      </c>
      <c r="I47" s="62">
        <v>0</v>
      </c>
      <c r="J47" s="63">
        <v>0</v>
      </c>
      <c r="K47" s="64">
        <v>0</v>
      </c>
      <c r="L47" s="60">
        <v>0</v>
      </c>
      <c r="M47" s="65">
        <v>0</v>
      </c>
      <c r="N47" s="61">
        <v>0</v>
      </c>
      <c r="O47" s="63">
        <v>0</v>
      </c>
      <c r="P47" s="63">
        <v>0</v>
      </c>
      <c r="Q47" s="74">
        <v>95.55</v>
      </c>
      <c r="R47" s="66">
        <v>0</v>
      </c>
      <c r="S47" s="66">
        <v>4.4500000000000028</v>
      </c>
      <c r="T47" s="67">
        <v>0</v>
      </c>
      <c r="U47" s="68">
        <v>0</v>
      </c>
      <c r="V47" s="68">
        <v>0</v>
      </c>
      <c r="W47" s="69"/>
      <c r="X47" s="70">
        <v>0</v>
      </c>
      <c r="Y47" s="66">
        <v>0</v>
      </c>
      <c r="Z47" s="66">
        <v>0</v>
      </c>
      <c r="AA47" s="66">
        <v>0</v>
      </c>
      <c r="AB47" s="66">
        <v>7.1499999999999924</v>
      </c>
      <c r="AC47" s="66">
        <v>69.8</v>
      </c>
      <c r="AD47" s="66">
        <v>18.600000000000001</v>
      </c>
      <c r="AE47" s="70">
        <v>0</v>
      </c>
      <c r="AF47" s="66">
        <v>0</v>
      </c>
      <c r="AG47" s="66">
        <v>0</v>
      </c>
      <c r="AH47" s="66">
        <v>0</v>
      </c>
      <c r="AI47" s="66">
        <v>0</v>
      </c>
      <c r="AJ47" s="66">
        <v>0</v>
      </c>
      <c r="AK47" s="66">
        <v>0</v>
      </c>
      <c r="AL47" s="70">
        <v>0</v>
      </c>
      <c r="AM47" s="66">
        <v>0</v>
      </c>
      <c r="AN47" s="66">
        <v>0</v>
      </c>
      <c r="AO47" s="66">
        <v>0</v>
      </c>
      <c r="AP47" s="66">
        <v>7.1499999999999924</v>
      </c>
      <c r="AQ47" s="71">
        <v>69.8</v>
      </c>
      <c r="AR47" s="71">
        <v>18.600000000000001</v>
      </c>
      <c r="AS47" s="111"/>
      <c r="AT47">
        <f t="shared" si="1"/>
        <v>1</v>
      </c>
      <c r="AU47" t="str">
        <f t="shared" si="0"/>
        <v>Cayman Islands</v>
      </c>
    </row>
    <row r="48" spans="1:47">
      <c r="A48">
        <v>80</v>
      </c>
      <c r="B48" s="72" t="s">
        <v>308</v>
      </c>
      <c r="C48" s="73" t="s">
        <v>27</v>
      </c>
      <c r="D48" s="73">
        <v>2015</v>
      </c>
      <c r="E48" s="59">
        <v>25.08699975131816</v>
      </c>
      <c r="F48" s="60">
        <v>14.88164907413676</v>
      </c>
      <c r="G48" s="60">
        <v>36.11027665003671</v>
      </c>
      <c r="H48" s="61">
        <v>23.921074524508381</v>
      </c>
      <c r="I48" s="62">
        <v>0.67118257284164429</v>
      </c>
      <c r="J48" s="63">
        <v>6.4760103821754456E-2</v>
      </c>
      <c r="K48" s="64">
        <v>9.0535063485381695</v>
      </c>
      <c r="L48" s="60">
        <v>4.0145798426106101</v>
      </c>
      <c r="M48" s="65">
        <v>51.371481183947139</v>
      </c>
      <c r="N48" s="61">
        <v>35.560432624904081</v>
      </c>
      <c r="O48" s="63">
        <v>4.6392649412155151E-2</v>
      </c>
      <c r="P48" s="63">
        <v>5.8957237750291824E-2</v>
      </c>
      <c r="Q48" s="74">
        <v>49.100196666943617</v>
      </c>
      <c r="R48" s="66">
        <v>31.157146047686268</v>
      </c>
      <c r="S48" s="66">
        <v>13.253728770153829</v>
      </c>
      <c r="T48" s="67">
        <v>6.488928515216287</v>
      </c>
      <c r="U48" s="68">
        <v>1.5362532138824463</v>
      </c>
      <c r="V48" s="68">
        <v>0.19785176217556</v>
      </c>
      <c r="W48" s="69"/>
      <c r="X48" s="70">
        <v>0</v>
      </c>
      <c r="Y48" s="66">
        <v>0</v>
      </c>
      <c r="Z48" s="66">
        <v>0</v>
      </c>
      <c r="AA48" s="66">
        <v>0</v>
      </c>
      <c r="AB48" s="66">
        <v>24.70355530261148</v>
      </c>
      <c r="AC48" s="66">
        <v>0.35318445800727799</v>
      </c>
      <c r="AD48" s="66">
        <v>3.02599906993909E-2</v>
      </c>
      <c r="AE48" s="70">
        <v>0</v>
      </c>
      <c r="AF48" s="66">
        <v>0</v>
      </c>
      <c r="AG48" s="66">
        <v>0</v>
      </c>
      <c r="AH48" s="66">
        <v>0</v>
      </c>
      <c r="AI48" s="66">
        <v>9.0211893531021641</v>
      </c>
      <c r="AJ48" s="66">
        <v>2.4658887658487401E-2</v>
      </c>
      <c r="AK48" s="66">
        <v>7.6581077775182997E-3</v>
      </c>
      <c r="AL48" s="70">
        <v>0</v>
      </c>
      <c r="AM48" s="66">
        <v>0</v>
      </c>
      <c r="AN48" s="66">
        <v>0</v>
      </c>
      <c r="AO48" s="66">
        <v>0</v>
      </c>
      <c r="AP48" s="66">
        <v>48.209446865538652</v>
      </c>
      <c r="AQ48" s="71">
        <v>0.82721052081093627</v>
      </c>
      <c r="AR48" s="71">
        <v>6.3539280594026304E-2</v>
      </c>
      <c r="AS48" s="111"/>
      <c r="AT48">
        <f t="shared" si="1"/>
        <v>1</v>
      </c>
      <c r="AU48" t="str">
        <f t="shared" si="0"/>
        <v>Central African Republic</v>
      </c>
    </row>
    <row r="49" spans="1:47">
      <c r="A49">
        <v>82</v>
      </c>
      <c r="B49" s="72" t="s">
        <v>309</v>
      </c>
      <c r="C49" s="73" t="s">
        <v>28</v>
      </c>
      <c r="D49" s="73">
        <v>2015</v>
      </c>
      <c r="E49" s="59">
        <v>9.5483878430000146</v>
      </c>
      <c r="F49" s="60">
        <v>5.5595764479970464</v>
      </c>
      <c r="G49" s="60">
        <v>17.301130836063692</v>
      </c>
      <c r="H49" s="61">
        <v>67.590904872939248</v>
      </c>
      <c r="I49" s="62">
        <v>-2.3707976564764977E-2</v>
      </c>
      <c r="J49" s="63">
        <v>-0.21114686131477356</v>
      </c>
      <c r="K49" s="64">
        <v>2.8870907259167118</v>
      </c>
      <c r="L49" s="60">
        <v>0.82508295521786001</v>
      </c>
      <c r="M49" s="65">
        <v>13.923109082146141</v>
      </c>
      <c r="N49" s="61">
        <v>82.364717236719287</v>
      </c>
      <c r="O49" s="63">
        <v>-0.22643366456031799</v>
      </c>
      <c r="P49" s="63">
        <v>-0.19240616261959076</v>
      </c>
      <c r="Q49" s="74">
        <v>32.531063477833847</v>
      </c>
      <c r="R49" s="66">
        <v>21.894432306733979</v>
      </c>
      <c r="S49" s="66">
        <v>28.955914715707451</v>
      </c>
      <c r="T49" s="67">
        <v>16.61858949972472</v>
      </c>
      <c r="U49" s="68">
        <v>0.63433098793029785</v>
      </c>
      <c r="V49" s="68">
        <v>-0.1100742518901825</v>
      </c>
      <c r="W49" s="69"/>
      <c r="X49" s="70">
        <v>0</v>
      </c>
      <c r="Y49" s="66">
        <v>0</v>
      </c>
      <c r="Z49" s="66">
        <v>0</v>
      </c>
      <c r="AA49" s="66">
        <v>0</v>
      </c>
      <c r="AB49" s="66">
        <v>8.6524908938476948</v>
      </c>
      <c r="AC49" s="66">
        <v>0.61463462294170168</v>
      </c>
      <c r="AD49" s="66">
        <v>0.28126232621061448</v>
      </c>
      <c r="AE49" s="70">
        <v>0</v>
      </c>
      <c r="AF49" s="66">
        <v>0</v>
      </c>
      <c r="AG49" s="66">
        <v>0</v>
      </c>
      <c r="AH49" s="66">
        <v>0</v>
      </c>
      <c r="AI49" s="66">
        <v>2.8312253804289651</v>
      </c>
      <c r="AJ49" s="66">
        <v>5.0595372141422498E-2</v>
      </c>
      <c r="AK49" s="66">
        <v>5.2699733463249E-3</v>
      </c>
      <c r="AL49" s="70">
        <v>0</v>
      </c>
      <c r="AM49" s="66">
        <v>0</v>
      </c>
      <c r="AN49" s="66">
        <v>0</v>
      </c>
      <c r="AO49" s="66">
        <v>0</v>
      </c>
      <c r="AP49" s="66">
        <v>28.908621563332801</v>
      </c>
      <c r="AQ49" s="71">
        <v>2.452663137797622</v>
      </c>
      <c r="AR49" s="71">
        <v>1.16977877670343</v>
      </c>
      <c r="AS49" s="111"/>
      <c r="AT49">
        <f t="shared" si="1"/>
        <v>1</v>
      </c>
      <c r="AU49" t="str">
        <f t="shared" si="0"/>
        <v>Chad</v>
      </c>
    </row>
    <row r="50" spans="1:47">
      <c r="A50">
        <v>84</v>
      </c>
      <c r="B50" s="72" t="s">
        <v>310</v>
      </c>
      <c r="C50" s="73" t="s">
        <v>29</v>
      </c>
      <c r="D50" s="73">
        <v>2015</v>
      </c>
      <c r="E50" s="59">
        <v>98.5</v>
      </c>
      <c r="F50" s="60">
        <v>0</v>
      </c>
      <c r="G50" s="60">
        <v>1.5</v>
      </c>
      <c r="H50" s="61">
        <v>0</v>
      </c>
      <c r="I50" s="62">
        <v>0</v>
      </c>
      <c r="J50" s="63">
        <v>0</v>
      </c>
      <c r="K50" s="64">
        <v>0</v>
      </c>
      <c r="L50" s="60">
        <v>0</v>
      </c>
      <c r="M50" s="65">
        <v>0</v>
      </c>
      <c r="N50" s="61">
        <v>0</v>
      </c>
      <c r="O50" s="63">
        <v>0</v>
      </c>
      <c r="P50" s="63">
        <v>0</v>
      </c>
      <c r="Q50" s="74">
        <v>0</v>
      </c>
      <c r="R50" s="66">
        <v>0</v>
      </c>
      <c r="S50" s="66">
        <v>0</v>
      </c>
      <c r="T50" s="67">
        <v>0</v>
      </c>
      <c r="U50" s="68">
        <v>0</v>
      </c>
      <c r="V50" s="68">
        <v>0</v>
      </c>
      <c r="W50" s="69"/>
      <c r="X50" s="70">
        <v>0</v>
      </c>
      <c r="Y50" s="66">
        <v>0</v>
      </c>
      <c r="Z50" s="66">
        <v>0</v>
      </c>
      <c r="AA50" s="66">
        <v>0</v>
      </c>
      <c r="AB50" s="66">
        <v>0</v>
      </c>
      <c r="AC50" s="66">
        <v>17</v>
      </c>
      <c r="AD50" s="66">
        <v>81.5</v>
      </c>
      <c r="AE50" s="70">
        <v>0</v>
      </c>
      <c r="AF50" s="66">
        <v>0</v>
      </c>
      <c r="AG50" s="66">
        <v>0</v>
      </c>
      <c r="AH50" s="66">
        <v>0</v>
      </c>
      <c r="AI50" s="66">
        <v>0</v>
      </c>
      <c r="AJ50" s="66">
        <v>0</v>
      </c>
      <c r="AK50" s="66">
        <v>0</v>
      </c>
      <c r="AL50" s="70">
        <v>0</v>
      </c>
      <c r="AM50" s="66">
        <v>0</v>
      </c>
      <c r="AN50" s="66">
        <v>0</v>
      </c>
      <c r="AO50" s="66">
        <v>0</v>
      </c>
      <c r="AP50" s="66">
        <v>0</v>
      </c>
      <c r="AQ50" s="71">
        <v>0</v>
      </c>
      <c r="AR50" s="71">
        <v>0</v>
      </c>
      <c r="AS50" s="111"/>
      <c r="AT50">
        <f t="shared" si="1"/>
        <v>1</v>
      </c>
      <c r="AU50" t="str">
        <f t="shared" si="0"/>
        <v>Channel Islands</v>
      </c>
    </row>
    <row r="51" spans="1:47">
      <c r="A51">
        <v>86</v>
      </c>
      <c r="B51" s="72" t="s">
        <v>311</v>
      </c>
      <c r="C51" s="73" t="s">
        <v>30</v>
      </c>
      <c r="D51" s="73">
        <v>2015</v>
      </c>
      <c r="E51" s="59">
        <v>99.88820969985963</v>
      </c>
      <c r="F51" s="60">
        <v>0</v>
      </c>
      <c r="G51" s="60">
        <v>0</v>
      </c>
      <c r="H51" s="61">
        <v>0.1117903001403736</v>
      </c>
      <c r="I51" s="62">
        <v>0.53545773029327393</v>
      </c>
      <c r="J51" s="63">
        <v>-0.15399865806102753</v>
      </c>
      <c r="K51" s="64">
        <v>98.932279845841705</v>
      </c>
      <c r="L51" s="60">
        <v>0</v>
      </c>
      <c r="M51" s="65">
        <v>0</v>
      </c>
      <c r="N51" s="61">
        <v>1.0677201541582959</v>
      </c>
      <c r="O51" s="63">
        <v>2.1174759864807129</v>
      </c>
      <c r="P51" s="63">
        <v>-0.16088379919528961</v>
      </c>
      <c r="Q51" s="74">
        <v>100</v>
      </c>
      <c r="R51" s="66">
        <v>0</v>
      </c>
      <c r="S51" s="66">
        <v>0</v>
      </c>
      <c r="T51" s="67">
        <v>0</v>
      </c>
      <c r="U51" s="68">
        <v>0.27662113308906555</v>
      </c>
      <c r="V51" s="68">
        <v>-0.15002571046352386</v>
      </c>
      <c r="W51" s="69"/>
      <c r="X51" s="70">
        <v>85.47656279199515</v>
      </c>
      <c r="Y51" s="66">
        <v>5.0595237899388152</v>
      </c>
      <c r="Z51" s="66">
        <v>0</v>
      </c>
      <c r="AA51" s="66">
        <v>80.417039002056327</v>
      </c>
      <c r="AB51" s="66">
        <v>1.405760176151434</v>
      </c>
      <c r="AC51" s="66">
        <v>8.7132874037261967</v>
      </c>
      <c r="AD51" s="66">
        <v>89.769162119981999</v>
      </c>
      <c r="AE51" s="70">
        <v>0</v>
      </c>
      <c r="AF51" s="66">
        <v>0</v>
      </c>
      <c r="AG51" s="66">
        <v>0</v>
      </c>
      <c r="AH51" s="66">
        <v>19.89191343166285</v>
      </c>
      <c r="AI51" s="66">
        <v>13.42655373592577</v>
      </c>
      <c r="AJ51" s="66">
        <v>63.300476776153118</v>
      </c>
      <c r="AK51" s="66">
        <v>22.205249333762819</v>
      </c>
      <c r="AL51" s="70">
        <v>81.306705729710416</v>
      </c>
      <c r="AM51" s="66">
        <v>1.1648204430151741</v>
      </c>
      <c r="AN51" s="66">
        <v>0</v>
      </c>
      <c r="AO51" s="66">
        <v>80.141885286695242</v>
      </c>
      <c r="AP51" s="66">
        <v>0</v>
      </c>
      <c r="AQ51" s="71">
        <v>2.3296408860303468</v>
      </c>
      <c r="AR51" s="71">
        <v>97.670359113969653</v>
      </c>
      <c r="AS51" s="111"/>
      <c r="AT51">
        <f t="shared" si="1"/>
        <v>0.10417968595302232</v>
      </c>
      <c r="AU51" t="str">
        <f t="shared" si="0"/>
        <v>Chile</v>
      </c>
    </row>
    <row r="52" spans="1:47">
      <c r="A52">
        <v>88</v>
      </c>
      <c r="B52" s="72" t="s">
        <v>312</v>
      </c>
      <c r="C52" s="73" t="s">
        <v>31</v>
      </c>
      <c r="D52" s="73">
        <v>2015</v>
      </c>
      <c r="E52" s="59">
        <v>75.037278564048435</v>
      </c>
      <c r="F52" s="60">
        <v>4.7142399903663623</v>
      </c>
      <c r="G52" s="60">
        <v>18.741690470395781</v>
      </c>
      <c r="H52" s="61">
        <v>1.506790975189424</v>
      </c>
      <c r="I52" s="62">
        <v>0.96392029523849487</v>
      </c>
      <c r="J52" s="63">
        <v>-5.8196581900119781E-2</v>
      </c>
      <c r="K52" s="64">
        <v>61.011961587748061</v>
      </c>
      <c r="L52" s="60">
        <v>3.1099108113565741</v>
      </c>
      <c r="M52" s="65">
        <v>33.239203221159812</v>
      </c>
      <c r="N52" s="61">
        <v>2.6389243797355562</v>
      </c>
      <c r="O52" s="63">
        <v>0.6280779242515564</v>
      </c>
      <c r="P52" s="63">
        <v>-7.1485765278339386E-2</v>
      </c>
      <c r="Q52" s="74">
        <v>86.231001714875006</v>
      </c>
      <c r="R52" s="66">
        <v>5.9946685684137702</v>
      </c>
      <c r="S52" s="66">
        <v>7.1711039102596228</v>
      </c>
      <c r="T52" s="67">
        <v>0.60322580645161294</v>
      </c>
      <c r="U52" s="68">
        <v>0.63925570249557495</v>
      </c>
      <c r="V52" s="68">
        <v>4.0215052664279938E-2</v>
      </c>
      <c r="W52" s="69"/>
      <c r="X52" s="70">
        <v>59.691736866130562</v>
      </c>
      <c r="Y52" s="66">
        <v>19.799686766134791</v>
      </c>
      <c r="Z52" s="66">
        <v>0</v>
      </c>
      <c r="AA52" s="66">
        <v>39.892050099995757</v>
      </c>
      <c r="AB52" s="66">
        <v>29.51623646901859</v>
      </c>
      <c r="AC52" s="66">
        <v>0.40356820031970497</v>
      </c>
      <c r="AD52" s="66">
        <v>45.11747389471013</v>
      </c>
      <c r="AE52" s="70">
        <v>41.973912932675283</v>
      </c>
      <c r="AF52" s="66">
        <v>34.360156982675242</v>
      </c>
      <c r="AG52" s="66">
        <v>0</v>
      </c>
      <c r="AH52" s="66">
        <v>7.6137559500000469</v>
      </c>
      <c r="AI52" s="66">
        <v>52.271649111834193</v>
      </c>
      <c r="AJ52" s="66">
        <v>0.1292374759138683</v>
      </c>
      <c r="AK52" s="66">
        <v>8.6110750000000014</v>
      </c>
      <c r="AL52" s="70">
        <v>73.426848908159513</v>
      </c>
      <c r="AM52" s="66">
        <v>8.1167589081591167</v>
      </c>
      <c r="AN52" s="66">
        <v>0</v>
      </c>
      <c r="AO52" s="66">
        <v>65.3100900000004</v>
      </c>
      <c r="AP52" s="66">
        <v>11.74624063345885</v>
      </c>
      <c r="AQ52" s="71">
        <v>0.61976108141614306</v>
      </c>
      <c r="AR52" s="71">
        <v>73.865000000000009</v>
      </c>
      <c r="AS52" s="111"/>
      <c r="AT52">
        <f t="shared" si="1"/>
        <v>0.11581818181817659</v>
      </c>
      <c r="AU52" t="str">
        <f t="shared" si="0"/>
        <v>China</v>
      </c>
    </row>
    <row r="53" spans="1:47">
      <c r="A53">
        <v>90</v>
      </c>
      <c r="B53" s="72" t="s">
        <v>313</v>
      </c>
      <c r="C53" s="73" t="s">
        <v>32</v>
      </c>
      <c r="D53" s="73">
        <v>2015</v>
      </c>
      <c r="E53" s="59">
        <v>96.3</v>
      </c>
      <c r="F53" s="60">
        <v>0</v>
      </c>
      <c r="G53" s="60">
        <v>3.7000000000000028</v>
      </c>
      <c r="H53" s="61">
        <v>0</v>
      </c>
      <c r="I53" s="62">
        <v>-4.3636362999677658E-2</v>
      </c>
      <c r="J53" s="63">
        <v>0</v>
      </c>
      <c r="K53" s="64">
        <v>0</v>
      </c>
      <c r="L53" s="60">
        <v>0</v>
      </c>
      <c r="M53" s="65">
        <v>0</v>
      </c>
      <c r="N53" s="61">
        <v>0</v>
      </c>
      <c r="O53" s="63">
        <v>0</v>
      </c>
      <c r="P53" s="63">
        <v>0</v>
      </c>
      <c r="Q53" s="74">
        <v>96.3</v>
      </c>
      <c r="R53" s="66">
        <v>0</v>
      </c>
      <c r="S53" s="66">
        <v>3.7000000000000028</v>
      </c>
      <c r="T53" s="67">
        <v>0</v>
      </c>
      <c r="U53" s="68">
        <v>-4.3636362999677658E-2</v>
      </c>
      <c r="V53" s="68">
        <v>0</v>
      </c>
      <c r="W53" s="69"/>
      <c r="X53" s="70">
        <v>16.191466155555549</v>
      </c>
      <c r="Y53" s="66">
        <v>1.850000000000001</v>
      </c>
      <c r="Z53" s="66">
        <v>0</v>
      </c>
      <c r="AA53" s="66">
        <v>14.341466155555549</v>
      </c>
      <c r="AB53" s="66">
        <v>3.7000000000000028</v>
      </c>
      <c r="AC53" s="66">
        <v>0</v>
      </c>
      <c r="AD53" s="66">
        <v>92.6</v>
      </c>
      <c r="AE53" s="70">
        <v>0</v>
      </c>
      <c r="AF53" s="66">
        <v>0</v>
      </c>
      <c r="AG53" s="66">
        <v>0</v>
      </c>
      <c r="AH53" s="66">
        <v>0</v>
      </c>
      <c r="AI53" s="66">
        <v>0</v>
      </c>
      <c r="AJ53" s="66">
        <v>0</v>
      </c>
      <c r="AK53" s="66">
        <v>0</v>
      </c>
      <c r="AL53" s="70">
        <v>16.191466155555549</v>
      </c>
      <c r="AM53" s="66">
        <v>1.850000000000001</v>
      </c>
      <c r="AN53" s="66">
        <v>0</v>
      </c>
      <c r="AO53" s="66">
        <v>14.341466155555549</v>
      </c>
      <c r="AP53" s="66">
        <v>3.7000000000000028</v>
      </c>
      <c r="AQ53" s="71">
        <v>0</v>
      </c>
      <c r="AR53" s="71">
        <v>92.6</v>
      </c>
      <c r="AS53" s="111"/>
      <c r="AT53">
        <f t="shared" si="1"/>
        <v>0.84512455555555555</v>
      </c>
      <c r="AU53" t="str">
        <f t="shared" si="0"/>
        <v>China, Hong Kong Special Administrative Region</v>
      </c>
    </row>
    <row r="54" spans="1:47">
      <c r="A54">
        <v>92</v>
      </c>
      <c r="B54" s="72" t="s">
        <v>314</v>
      </c>
      <c r="C54" s="73" t="s">
        <v>33</v>
      </c>
      <c r="D54" s="73">
        <v>2015</v>
      </c>
      <c r="E54" s="59">
        <v>0</v>
      </c>
      <c r="F54" s="60">
        <v>0</v>
      </c>
      <c r="G54" s="60">
        <v>0</v>
      </c>
      <c r="H54" s="61">
        <v>0</v>
      </c>
      <c r="I54" s="62">
        <v>0</v>
      </c>
      <c r="J54" s="63">
        <v>0</v>
      </c>
      <c r="K54" s="64">
        <v>0</v>
      </c>
      <c r="L54" s="60">
        <v>0</v>
      </c>
      <c r="M54" s="65">
        <v>0</v>
      </c>
      <c r="N54" s="61">
        <v>0</v>
      </c>
      <c r="O54" s="63">
        <v>0</v>
      </c>
      <c r="P54" s="63">
        <v>0</v>
      </c>
      <c r="Q54" s="74">
        <v>0</v>
      </c>
      <c r="R54" s="66">
        <v>0</v>
      </c>
      <c r="S54" s="66">
        <v>0</v>
      </c>
      <c r="T54" s="67">
        <v>0</v>
      </c>
      <c r="U54" s="68">
        <v>0</v>
      </c>
      <c r="V54" s="68">
        <v>0</v>
      </c>
      <c r="W54" s="69"/>
      <c r="X54" s="70">
        <v>0</v>
      </c>
      <c r="Y54" s="66">
        <v>0</v>
      </c>
      <c r="Z54" s="66">
        <v>0</v>
      </c>
      <c r="AA54" s="66">
        <v>0</v>
      </c>
      <c r="AB54" s="66">
        <v>0</v>
      </c>
      <c r="AC54" s="66">
        <v>0</v>
      </c>
      <c r="AD54" s="66">
        <v>0</v>
      </c>
      <c r="AE54" s="70">
        <v>0</v>
      </c>
      <c r="AF54" s="66">
        <v>0</v>
      </c>
      <c r="AG54" s="66">
        <v>0</v>
      </c>
      <c r="AH54" s="66">
        <v>0</v>
      </c>
      <c r="AI54" s="66">
        <v>0</v>
      </c>
      <c r="AJ54" s="66">
        <v>0</v>
      </c>
      <c r="AK54" s="66">
        <v>0</v>
      </c>
      <c r="AL54" s="70">
        <v>0</v>
      </c>
      <c r="AM54" s="66">
        <v>0</v>
      </c>
      <c r="AN54" s="66">
        <v>0</v>
      </c>
      <c r="AO54" s="66">
        <v>0</v>
      </c>
      <c r="AP54" s="66">
        <v>0</v>
      </c>
      <c r="AQ54" s="71">
        <v>0</v>
      </c>
      <c r="AR54" s="71">
        <v>0</v>
      </c>
      <c r="AS54" s="111"/>
      <c r="AT54" t="e">
        <f t="shared" si="1"/>
        <v>#DIV/0!</v>
      </c>
      <c r="AU54" t="str">
        <f t="shared" si="0"/>
        <v>China, Macao Special Administrative Region</v>
      </c>
    </row>
    <row r="55" spans="1:47">
      <c r="A55">
        <v>94</v>
      </c>
      <c r="B55" s="72" t="s">
        <v>315</v>
      </c>
      <c r="C55" s="73" t="s">
        <v>34</v>
      </c>
      <c r="D55" s="73">
        <v>2015</v>
      </c>
      <c r="E55" s="59">
        <v>84.439197201812661</v>
      </c>
      <c r="F55" s="60">
        <v>8.5312068010900326</v>
      </c>
      <c r="G55" s="60">
        <v>3.0902482403982212</v>
      </c>
      <c r="H55" s="61">
        <v>3.9393477566990822</v>
      </c>
      <c r="I55" s="62">
        <v>0.57634741067886353</v>
      </c>
      <c r="J55" s="63">
        <v>-0.37336805462837219</v>
      </c>
      <c r="K55" s="64">
        <v>71.996004385551927</v>
      </c>
      <c r="L55" s="60">
        <v>5.4670292953753901</v>
      </c>
      <c r="M55" s="65">
        <v>8.9913104387151179</v>
      </c>
      <c r="N55" s="61">
        <v>13.54565588035757</v>
      </c>
      <c r="O55" s="63">
        <v>1.4311214685440063</v>
      </c>
      <c r="P55" s="63">
        <v>-1.0484457015991211</v>
      </c>
      <c r="Q55" s="74">
        <v>88.275235135801466</v>
      </c>
      <c r="R55" s="66">
        <v>9.4758438666698623</v>
      </c>
      <c r="S55" s="66">
        <v>1.2710448592540049</v>
      </c>
      <c r="T55" s="67">
        <v>0.97787613827466657</v>
      </c>
      <c r="U55" s="68">
        <v>0.1795041412115097</v>
      </c>
      <c r="V55" s="68">
        <v>-6.111811101436615E-2</v>
      </c>
      <c r="W55" s="69"/>
      <c r="X55" s="70">
        <v>19.60973244160542</v>
      </c>
      <c r="Y55" s="66">
        <v>8.8024280263117625</v>
      </c>
      <c r="Z55" s="66">
        <v>0</v>
      </c>
      <c r="AA55" s="66">
        <v>10.807304415293659</v>
      </c>
      <c r="AB55" s="66">
        <v>1.043888467284072</v>
      </c>
      <c r="AC55" s="66">
        <v>16.560967585339451</v>
      </c>
      <c r="AD55" s="66">
        <v>66.834341149189143</v>
      </c>
      <c r="AE55" s="70">
        <v>0</v>
      </c>
      <c r="AF55" s="66">
        <v>0</v>
      </c>
      <c r="AG55" s="66">
        <v>0</v>
      </c>
      <c r="AH55" s="66">
        <v>1.993595406353676</v>
      </c>
      <c r="AI55" s="66">
        <v>3.662051504103037</v>
      </c>
      <c r="AJ55" s="66">
        <v>56.005195368784939</v>
      </c>
      <c r="AK55" s="66">
        <v>12.32875751266395</v>
      </c>
      <c r="AL55" s="70">
        <v>15.97537812184583</v>
      </c>
      <c r="AM55" s="66">
        <v>2.5140912409102598</v>
      </c>
      <c r="AN55" s="66">
        <v>0</v>
      </c>
      <c r="AO55" s="66">
        <v>13.461286880935569</v>
      </c>
      <c r="AP55" s="66">
        <v>0.26098964934020807</v>
      </c>
      <c r="AQ55" s="71">
        <v>4.7671928324803119</v>
      </c>
      <c r="AR55" s="71">
        <v>83.247052653980944</v>
      </c>
      <c r="AS55" s="111"/>
      <c r="AT55">
        <f t="shared" si="1"/>
        <v>0.83829713543267603</v>
      </c>
      <c r="AU55" t="str">
        <f t="shared" si="0"/>
        <v>Colombia</v>
      </c>
    </row>
    <row r="56" spans="1:47">
      <c r="A56">
        <v>96</v>
      </c>
      <c r="B56" s="72" t="s">
        <v>316</v>
      </c>
      <c r="C56" s="73" t="s">
        <v>35</v>
      </c>
      <c r="D56" s="73">
        <v>2015</v>
      </c>
      <c r="E56" s="59">
        <v>34.166037215286543</v>
      </c>
      <c r="F56" s="60">
        <v>5.8050868186483866</v>
      </c>
      <c r="G56" s="60">
        <v>59.43687721285805</v>
      </c>
      <c r="H56" s="61">
        <v>0.59199875320702589</v>
      </c>
      <c r="I56" s="62">
        <v>0.4883747398853302</v>
      </c>
      <c r="J56" s="63">
        <v>-4.7266003675758839E-3</v>
      </c>
      <c r="K56" s="64">
        <v>28.991302460584361</v>
      </c>
      <c r="L56" s="60">
        <v>4.9498904880531827</v>
      </c>
      <c r="M56" s="65">
        <v>65.440892363001311</v>
      </c>
      <c r="N56" s="61">
        <v>0.61791468836115904</v>
      </c>
      <c r="O56" s="63">
        <v>0.46303340792655945</v>
      </c>
      <c r="P56" s="63">
        <v>-4.5200069434940815E-3</v>
      </c>
      <c r="Q56" s="74">
        <v>47.279169136800682</v>
      </c>
      <c r="R56" s="66">
        <v>7.972212832537223</v>
      </c>
      <c r="S56" s="66">
        <v>44.22229203029265</v>
      </c>
      <c r="T56" s="67">
        <v>0.52632600036945298</v>
      </c>
      <c r="U56" s="68">
        <v>0.54390197992324829</v>
      </c>
      <c r="V56" s="68">
        <v>-5.2087693475186825E-3</v>
      </c>
      <c r="W56" s="69"/>
      <c r="X56" s="70">
        <v>0</v>
      </c>
      <c r="Y56" s="66">
        <v>0</v>
      </c>
      <c r="Z56" s="66">
        <v>0</v>
      </c>
      <c r="AA56" s="66">
        <v>0</v>
      </c>
      <c r="AB56" s="66">
        <v>25.049556291769019</v>
      </c>
      <c r="AC56" s="66">
        <v>4.6182996401545049</v>
      </c>
      <c r="AD56" s="66">
        <v>4.4981812833630084</v>
      </c>
      <c r="AE56" s="70">
        <v>0</v>
      </c>
      <c r="AF56" s="66">
        <v>0</v>
      </c>
      <c r="AG56" s="66">
        <v>0</v>
      </c>
      <c r="AH56" s="66">
        <v>0</v>
      </c>
      <c r="AI56" s="66">
        <v>22.32591402489901</v>
      </c>
      <c r="AJ56" s="66">
        <v>3.2168803343898462</v>
      </c>
      <c r="AK56" s="66">
        <v>3.4485081012954999</v>
      </c>
      <c r="AL56" s="70">
        <v>0</v>
      </c>
      <c r="AM56" s="66">
        <v>0</v>
      </c>
      <c r="AN56" s="66">
        <v>0</v>
      </c>
      <c r="AO56" s="66">
        <v>0</v>
      </c>
      <c r="AP56" s="66">
        <v>31.94653852388824</v>
      </c>
      <c r="AQ56" s="71">
        <v>8.1728144911090812</v>
      </c>
      <c r="AR56" s="71">
        <v>7.1598161218033498</v>
      </c>
      <c r="AS56" s="111"/>
      <c r="AT56">
        <f t="shared" si="1"/>
        <v>1</v>
      </c>
      <c r="AU56" t="str">
        <f t="shared" si="0"/>
        <v>Comoros</v>
      </c>
    </row>
    <row r="57" spans="1:47">
      <c r="A57">
        <v>98</v>
      </c>
      <c r="B57" s="72" t="s">
        <v>317</v>
      </c>
      <c r="C57" s="73" t="s">
        <v>36</v>
      </c>
      <c r="D57" s="73">
        <v>2015</v>
      </c>
      <c r="E57" s="59">
        <v>15.00932851561557</v>
      </c>
      <c r="F57" s="60">
        <v>30.485743155008759</v>
      </c>
      <c r="G57" s="60">
        <v>46.462739511193853</v>
      </c>
      <c r="H57" s="61">
        <v>8.0421888181818257</v>
      </c>
      <c r="I57" s="62">
        <v>0.15399014949798584</v>
      </c>
      <c r="J57" s="63">
        <v>-3.92644964158535E-2</v>
      </c>
      <c r="K57" s="64">
        <v>5.5888902995873941</v>
      </c>
      <c r="L57" s="60">
        <v>8.779513131843558</v>
      </c>
      <c r="M57" s="65">
        <v>65.652505659478123</v>
      </c>
      <c r="N57" s="61">
        <v>19.979090909090932</v>
      </c>
      <c r="O57" s="63">
        <v>4.1628075996413827E-4</v>
      </c>
      <c r="P57" s="63">
        <v>0.2074090838432312</v>
      </c>
      <c r="Q57" s="74">
        <v>19.99763642382749</v>
      </c>
      <c r="R57" s="66">
        <v>41.979620233656348</v>
      </c>
      <c r="S57" s="66">
        <v>36.301379706152517</v>
      </c>
      <c r="T57" s="67">
        <v>1.721363636363634</v>
      </c>
      <c r="U57" s="68">
        <v>0.15265904366970062</v>
      </c>
      <c r="V57" s="68">
        <v>-7.4224747717380524E-2</v>
      </c>
      <c r="W57" s="69"/>
      <c r="X57" s="70">
        <v>0</v>
      </c>
      <c r="Y57" s="66">
        <v>0</v>
      </c>
      <c r="Z57" s="66">
        <v>0</v>
      </c>
      <c r="AA57" s="66">
        <v>0</v>
      </c>
      <c r="AB57" s="66">
        <v>12.19899928391315</v>
      </c>
      <c r="AC57" s="66">
        <v>2.395419734965774</v>
      </c>
      <c r="AD57" s="66">
        <v>0.41490949673664668</v>
      </c>
      <c r="AE57" s="70">
        <v>0</v>
      </c>
      <c r="AF57" s="66">
        <v>0</v>
      </c>
      <c r="AG57" s="66">
        <v>0</v>
      </c>
      <c r="AH57" s="66">
        <v>0</v>
      </c>
      <c r="AI57" s="66">
        <v>5.2590455870020261</v>
      </c>
      <c r="AJ57" s="66">
        <v>0.1901635335983245</v>
      </c>
      <c r="AK57" s="66">
        <v>0.13968117898704291</v>
      </c>
      <c r="AL57" s="70">
        <v>0</v>
      </c>
      <c r="AM57" s="66">
        <v>0</v>
      </c>
      <c r="AN57" s="66">
        <v>0</v>
      </c>
      <c r="AO57" s="66">
        <v>0</v>
      </c>
      <c r="AP57" s="66">
        <v>15.938530396972631</v>
      </c>
      <c r="AQ57" s="71">
        <v>3.4997950556150901</v>
      </c>
      <c r="AR57" s="71">
        <v>0.55931097123977591</v>
      </c>
      <c r="AS57" s="111"/>
      <c r="AT57">
        <f t="shared" si="1"/>
        <v>1</v>
      </c>
      <c r="AU57" t="str">
        <f t="shared" si="0"/>
        <v>Congo</v>
      </c>
    </row>
    <row r="58" spans="1:47">
      <c r="A58">
        <v>100</v>
      </c>
      <c r="B58" s="72" t="s">
        <v>318</v>
      </c>
      <c r="C58" s="73" t="s">
        <v>37</v>
      </c>
      <c r="D58" s="73">
        <v>2015</v>
      </c>
      <c r="E58" s="59">
        <v>97.626872205257428</v>
      </c>
      <c r="F58" s="60">
        <v>0</v>
      </c>
      <c r="G58" s="60">
        <v>2.373127794742572</v>
      </c>
      <c r="H58" s="61">
        <v>0</v>
      </c>
      <c r="I58" s="62">
        <v>0.3683459460735321</v>
      </c>
      <c r="J58" s="63">
        <v>-4.2666666209697723E-2</v>
      </c>
      <c r="K58" s="64">
        <v>0</v>
      </c>
      <c r="L58" s="60">
        <v>0</v>
      </c>
      <c r="M58" s="65">
        <v>0</v>
      </c>
      <c r="N58" s="61">
        <v>0</v>
      </c>
      <c r="O58" s="63">
        <v>0</v>
      </c>
      <c r="P58" s="63">
        <v>0</v>
      </c>
      <c r="Q58" s="74">
        <v>0</v>
      </c>
      <c r="R58" s="66">
        <v>0</v>
      </c>
      <c r="S58" s="66">
        <v>0</v>
      </c>
      <c r="T58" s="67">
        <v>0</v>
      </c>
      <c r="U58" s="68">
        <v>0</v>
      </c>
      <c r="V58" s="68">
        <v>0</v>
      </c>
      <c r="W58" s="69"/>
      <c r="X58" s="70">
        <v>0</v>
      </c>
      <c r="Y58" s="66">
        <v>0</v>
      </c>
      <c r="Z58" s="66">
        <v>0</v>
      </c>
      <c r="AA58" s="66">
        <v>0</v>
      </c>
      <c r="AB58" s="66">
        <v>0</v>
      </c>
      <c r="AC58" s="66">
        <v>0</v>
      </c>
      <c r="AD58" s="66">
        <v>0</v>
      </c>
      <c r="AE58" s="70">
        <v>0</v>
      </c>
      <c r="AF58" s="66">
        <v>0</v>
      </c>
      <c r="AG58" s="66">
        <v>0</v>
      </c>
      <c r="AH58" s="66">
        <v>0</v>
      </c>
      <c r="AI58" s="66">
        <v>0</v>
      </c>
      <c r="AJ58" s="66">
        <v>0</v>
      </c>
      <c r="AK58" s="66">
        <v>0</v>
      </c>
      <c r="AL58" s="70">
        <v>0</v>
      </c>
      <c r="AM58" s="66">
        <v>0</v>
      </c>
      <c r="AN58" s="66">
        <v>0</v>
      </c>
      <c r="AO58" s="66">
        <v>0</v>
      </c>
      <c r="AP58" s="66">
        <v>0</v>
      </c>
      <c r="AQ58" s="71">
        <v>0</v>
      </c>
      <c r="AR58" s="71">
        <v>0</v>
      </c>
      <c r="AS58" s="111"/>
      <c r="AT58" t="e">
        <f t="shared" si="1"/>
        <v>#DIV/0!</v>
      </c>
      <c r="AU58" t="str">
        <f t="shared" si="0"/>
        <v>Cook Islands</v>
      </c>
    </row>
    <row r="59" spans="1:47">
      <c r="A59">
        <v>102</v>
      </c>
      <c r="B59" s="72" t="s">
        <v>319</v>
      </c>
      <c r="C59" s="73" t="s">
        <v>38</v>
      </c>
      <c r="D59" s="73">
        <v>2015</v>
      </c>
      <c r="E59" s="59">
        <v>97.148549601142662</v>
      </c>
      <c r="F59" s="60">
        <v>0.99984851366994831</v>
      </c>
      <c r="G59" s="60">
        <v>1.6580774864888921</v>
      </c>
      <c r="H59" s="61">
        <v>0.1935243986985006</v>
      </c>
      <c r="I59" s="62">
        <v>0.19830644130706787</v>
      </c>
      <c r="J59" s="63">
        <v>-4.3201975524425507E-2</v>
      </c>
      <c r="K59" s="64">
        <v>94.267457583444937</v>
      </c>
      <c r="L59" s="60">
        <v>1.376323585586074</v>
      </c>
      <c r="M59" s="65">
        <v>3.9204382834759319</v>
      </c>
      <c r="N59" s="61">
        <v>0.43578054749306722</v>
      </c>
      <c r="O59" s="63">
        <v>0.27805545926094055</v>
      </c>
      <c r="P59" s="63">
        <v>-5.4297368973493576E-2</v>
      </c>
      <c r="Q59" s="74">
        <v>98.017853982473483</v>
      </c>
      <c r="R59" s="66">
        <v>0.88625567197374699</v>
      </c>
      <c r="S59" s="66">
        <v>0.97546126288646917</v>
      </c>
      <c r="T59" s="67">
        <v>0.1204290826663055</v>
      </c>
      <c r="U59" s="68">
        <v>6.7749254405498505E-2</v>
      </c>
      <c r="V59" s="68">
        <v>-2.9179789125919342E-2</v>
      </c>
      <c r="W59" s="69"/>
      <c r="X59" s="70">
        <v>0</v>
      </c>
      <c r="Y59" s="66">
        <v>0</v>
      </c>
      <c r="Z59" s="66">
        <v>0</v>
      </c>
      <c r="AA59" s="66">
        <v>0.9766927807370227</v>
      </c>
      <c r="AB59" s="66">
        <v>0</v>
      </c>
      <c r="AC59" s="66">
        <v>73.89395958359448</v>
      </c>
      <c r="AD59" s="66">
        <v>23.254590017548189</v>
      </c>
      <c r="AE59" s="70">
        <v>0</v>
      </c>
      <c r="AF59" s="66">
        <v>0</v>
      </c>
      <c r="AG59" s="66">
        <v>0</v>
      </c>
      <c r="AH59" s="66">
        <v>0.24957259616828109</v>
      </c>
      <c r="AI59" s="66">
        <v>0</v>
      </c>
      <c r="AJ59" s="66">
        <v>88.32525291277156</v>
      </c>
      <c r="AK59" s="66">
        <v>5.942204670673366</v>
      </c>
      <c r="AL59" s="70">
        <v>0</v>
      </c>
      <c r="AM59" s="66">
        <v>0</v>
      </c>
      <c r="AN59" s="66">
        <v>0</v>
      </c>
      <c r="AO59" s="66">
        <v>1.1972452605942789</v>
      </c>
      <c r="AP59" s="66">
        <v>0</v>
      </c>
      <c r="AQ59" s="71">
        <v>69.512014444514435</v>
      </c>
      <c r="AR59" s="71">
        <v>28.505839537959051</v>
      </c>
      <c r="AS59" s="111"/>
      <c r="AT59">
        <f t="shared" si="1"/>
        <v>0.95800000000000007</v>
      </c>
      <c r="AU59" t="str">
        <f t="shared" si="0"/>
        <v>Costa Rica</v>
      </c>
    </row>
    <row r="60" spans="1:47">
      <c r="A60">
        <v>104</v>
      </c>
      <c r="B60" s="72" t="s">
        <v>320</v>
      </c>
      <c r="C60" s="73" t="s">
        <v>39</v>
      </c>
      <c r="D60" s="73">
        <v>2015</v>
      </c>
      <c r="E60" s="59">
        <v>29.931838060791769</v>
      </c>
      <c r="F60" s="60">
        <v>24.18865203490321</v>
      </c>
      <c r="G60" s="60">
        <v>22.22402756883702</v>
      </c>
      <c r="H60" s="61">
        <v>23.655482335468012</v>
      </c>
      <c r="I60" s="62">
        <v>0.50362145900726318</v>
      </c>
      <c r="J60" s="63">
        <v>-0.84139329195022583</v>
      </c>
      <c r="K60" s="64">
        <v>12.65342059291965</v>
      </c>
      <c r="L60" s="60">
        <v>14.97728555872237</v>
      </c>
      <c r="M60" s="65">
        <v>25.632341651628391</v>
      </c>
      <c r="N60" s="61">
        <v>46.73695219672959</v>
      </c>
      <c r="O60" s="63">
        <v>0.25201019644737244</v>
      </c>
      <c r="P60" s="63">
        <v>-0.83182591199874878</v>
      </c>
      <c r="Q60" s="74">
        <v>44.544187421771852</v>
      </c>
      <c r="R60" s="66">
        <v>31.97870024344153</v>
      </c>
      <c r="S60" s="66">
        <v>19.34161798460849</v>
      </c>
      <c r="T60" s="67">
        <v>4.1354943501781349</v>
      </c>
      <c r="U60" s="68">
        <v>0.31039354205131531</v>
      </c>
      <c r="V60" s="68">
        <v>-0.15983733534812927</v>
      </c>
      <c r="W60" s="69"/>
      <c r="X60" s="70">
        <v>0</v>
      </c>
      <c r="Y60" s="66">
        <v>0</v>
      </c>
      <c r="Z60" s="66">
        <v>0</v>
      </c>
      <c r="AA60" s="66">
        <v>0</v>
      </c>
      <c r="AB60" s="66">
        <v>17.504694095306</v>
      </c>
      <c r="AC60" s="66">
        <v>8.75932095764602</v>
      </c>
      <c r="AD60" s="66">
        <v>3.6678230078397411</v>
      </c>
      <c r="AE60" s="70">
        <v>0</v>
      </c>
      <c r="AF60" s="66">
        <v>0</v>
      </c>
      <c r="AG60" s="66">
        <v>0</v>
      </c>
      <c r="AH60" s="66">
        <v>0</v>
      </c>
      <c r="AI60" s="66">
        <v>10.696725854585569</v>
      </c>
      <c r="AJ60" s="66">
        <v>1.7260987933191629</v>
      </c>
      <c r="AK60" s="66">
        <v>0.23059594501492101</v>
      </c>
      <c r="AL60" s="70">
        <v>0</v>
      </c>
      <c r="AM60" s="66">
        <v>0</v>
      </c>
      <c r="AN60" s="66">
        <v>0</v>
      </c>
      <c r="AO60" s="66">
        <v>0</v>
      </c>
      <c r="AP60" s="66">
        <v>22.506309025921269</v>
      </c>
      <c r="AQ60" s="71">
        <v>15.160558602033079</v>
      </c>
      <c r="AR60" s="71">
        <v>6.877319793817497</v>
      </c>
      <c r="AS60" s="111"/>
      <c r="AT60">
        <f t="shared" si="1"/>
        <v>1</v>
      </c>
      <c r="AU60" t="str">
        <f t="shared" si="0"/>
        <v>Côte d'Ivoire</v>
      </c>
    </row>
    <row r="61" spans="1:47">
      <c r="A61">
        <v>106</v>
      </c>
      <c r="B61" s="72" t="s">
        <v>321</v>
      </c>
      <c r="C61" s="73" t="s">
        <v>40</v>
      </c>
      <c r="D61" s="73">
        <v>2015</v>
      </c>
      <c r="E61" s="59">
        <v>97.466128454918788</v>
      </c>
      <c r="F61" s="60">
        <v>1.5365270489438649</v>
      </c>
      <c r="G61" s="60">
        <v>0.80865969613733824</v>
      </c>
      <c r="H61" s="61">
        <v>0.18868480000000001</v>
      </c>
      <c r="I61" s="62">
        <v>2.1431691944599152E-2</v>
      </c>
      <c r="J61" s="63">
        <v>-1.6748687252402306E-2</v>
      </c>
      <c r="K61" s="64">
        <v>96.261058430284507</v>
      </c>
      <c r="L61" s="60">
        <v>2.1218171061961519</v>
      </c>
      <c r="M61" s="65">
        <v>1.617124463519332</v>
      </c>
      <c r="N61" s="61">
        <v>0</v>
      </c>
      <c r="O61" s="63">
        <v>1.5442165546119213E-2</v>
      </c>
      <c r="P61" s="63">
        <v>-3.933333232998848E-2</v>
      </c>
      <c r="Q61" s="74">
        <v>98.304797024400045</v>
      </c>
      <c r="R61" s="66">
        <v>1.1291943919089811</v>
      </c>
      <c r="S61" s="66">
        <v>0.246008583690973</v>
      </c>
      <c r="T61" s="67">
        <v>0.32</v>
      </c>
      <c r="U61" s="68">
        <v>1.793985441327095E-2</v>
      </c>
      <c r="V61" s="68">
        <v>0</v>
      </c>
      <c r="W61" s="69"/>
      <c r="X61" s="70">
        <v>60.127345505122307</v>
      </c>
      <c r="Y61" s="66">
        <v>19.79758677234177</v>
      </c>
      <c r="Z61" s="66">
        <v>0</v>
      </c>
      <c r="AA61" s="66">
        <v>40.32975873278054</v>
      </c>
      <c r="AB61" s="66">
        <v>5.0931675012149116</v>
      </c>
      <c r="AC61" s="66">
        <v>34.502006043468619</v>
      </c>
      <c r="AD61" s="66">
        <v>57.87095491023527</v>
      </c>
      <c r="AE61" s="70">
        <v>0</v>
      </c>
      <c r="AF61" s="66">
        <v>0</v>
      </c>
      <c r="AG61" s="66">
        <v>0</v>
      </c>
      <c r="AH61" s="66">
        <v>19.951264110569952</v>
      </c>
      <c r="AI61" s="66">
        <v>7.5073951266202892</v>
      </c>
      <c r="AJ61" s="66">
        <v>60.124711829017379</v>
      </c>
      <c r="AK61" s="66">
        <v>28.62895147464684</v>
      </c>
      <c r="AL61" s="70">
        <v>64.594399637739613</v>
      </c>
      <c r="AM61" s="66">
        <v>9.9378430223428929</v>
      </c>
      <c r="AN61" s="66">
        <v>0</v>
      </c>
      <c r="AO61" s="66">
        <v>54.656556615396717</v>
      </c>
      <c r="AP61" s="66">
        <v>3.39499425051162</v>
      </c>
      <c r="AQ61" s="71">
        <v>16.48069179417417</v>
      </c>
      <c r="AR61" s="71">
        <v>78.429110979714252</v>
      </c>
      <c r="AS61" s="111"/>
      <c r="AT61">
        <f t="shared" si="1"/>
        <v>0.30310880829015541</v>
      </c>
      <c r="AU61" t="str">
        <f t="shared" si="0"/>
        <v>Croatia</v>
      </c>
    </row>
    <row r="62" spans="1:47">
      <c r="A62">
        <v>108</v>
      </c>
      <c r="B62" s="72" t="s">
        <v>322</v>
      </c>
      <c r="C62" s="73" t="s">
        <v>41</v>
      </c>
      <c r="D62" s="73">
        <v>2015</v>
      </c>
      <c r="E62" s="59">
        <v>90.818507366318983</v>
      </c>
      <c r="F62" s="60">
        <v>4.9133042294331801</v>
      </c>
      <c r="G62" s="60">
        <v>3.906215818882016</v>
      </c>
      <c r="H62" s="61">
        <v>0.36197258536584931</v>
      </c>
      <c r="I62" s="62">
        <v>0.11009423434734344</v>
      </c>
      <c r="J62" s="63">
        <v>-9.821648895740509E-2</v>
      </c>
      <c r="K62" s="64">
        <v>88.116088244252126</v>
      </c>
      <c r="L62" s="60">
        <v>6.0876811570782996</v>
      </c>
      <c r="M62" s="65">
        <v>4.9068736141906584</v>
      </c>
      <c r="N62" s="61">
        <v>0.88935698447892264</v>
      </c>
      <c r="O62" s="63">
        <v>0.55218052864074707</v>
      </c>
      <c r="P62" s="63">
        <v>-0.26008868217468262</v>
      </c>
      <c r="Q62" s="74">
        <v>91.622353809899224</v>
      </c>
      <c r="R62" s="66">
        <v>4.5639806515315264</v>
      </c>
      <c r="S62" s="66">
        <v>3.6085657602987449</v>
      </c>
      <c r="T62" s="67">
        <v>0.20509977827050821</v>
      </c>
      <c r="U62" s="68">
        <v>-4.0174093097448349E-2</v>
      </c>
      <c r="V62" s="68">
        <v>-4.4124167412519455E-2</v>
      </c>
      <c r="W62" s="69"/>
      <c r="X62" s="70">
        <v>30.853946086394458</v>
      </c>
      <c r="Y62" s="66">
        <v>22.008437611190001</v>
      </c>
      <c r="Z62" s="66">
        <v>0</v>
      </c>
      <c r="AA62" s="66">
        <v>8.845508475204463</v>
      </c>
      <c r="AB62" s="66">
        <v>20.005822127752189</v>
      </c>
      <c r="AC62" s="66">
        <v>24.011053094627808</v>
      </c>
      <c r="AD62" s="66">
        <v>46.80163214393896</v>
      </c>
      <c r="AE62" s="70">
        <v>0</v>
      </c>
      <c r="AF62" s="66">
        <v>0</v>
      </c>
      <c r="AG62" s="66">
        <v>0</v>
      </c>
      <c r="AH62" s="66">
        <v>2.6113869617284049</v>
      </c>
      <c r="AI62" s="66">
        <v>46.505151118064937</v>
      </c>
      <c r="AJ62" s="66">
        <v>27.794074894819961</v>
      </c>
      <c r="AK62" s="66">
        <v>13.816862231367219</v>
      </c>
      <c r="AL62" s="70">
        <v>28.150847339225471</v>
      </c>
      <c r="AM62" s="66">
        <v>17.41836409831917</v>
      </c>
      <c r="AN62" s="66">
        <v>0</v>
      </c>
      <c r="AO62" s="66">
        <v>10.73248324090631</v>
      </c>
      <c r="AP62" s="66">
        <v>11.97551299647599</v>
      </c>
      <c r="AQ62" s="71">
        <v>22.861215200162349</v>
      </c>
      <c r="AR62" s="71">
        <v>56.785625613260883</v>
      </c>
      <c r="AS62" s="111"/>
      <c r="AT62">
        <f t="shared" si="1"/>
        <v>0.81100000000000005</v>
      </c>
      <c r="AU62" t="str">
        <f t="shared" si="0"/>
        <v>Cuba</v>
      </c>
    </row>
    <row r="63" spans="1:47">
      <c r="A63">
        <v>110</v>
      </c>
      <c r="B63" s="72" t="s">
        <v>323</v>
      </c>
      <c r="C63" s="73" t="s">
        <v>42</v>
      </c>
      <c r="D63" s="73">
        <v>2015</v>
      </c>
      <c r="E63" s="59">
        <v>98.818625309450994</v>
      </c>
      <c r="F63" s="60">
        <v>0</v>
      </c>
      <c r="G63" s="60">
        <v>0.80275229357798539</v>
      </c>
      <c r="H63" s="61">
        <v>0.3786223969710209</v>
      </c>
      <c r="I63" s="62">
        <v>0</v>
      </c>
      <c r="J63" s="63">
        <v>0</v>
      </c>
      <c r="K63" s="64">
        <v>0</v>
      </c>
      <c r="L63" s="60">
        <v>0</v>
      </c>
      <c r="M63" s="65">
        <v>0</v>
      </c>
      <c r="N63" s="61">
        <v>0</v>
      </c>
      <c r="O63" s="63">
        <v>0</v>
      </c>
      <c r="P63" s="63">
        <v>0</v>
      </c>
      <c r="Q63" s="74">
        <v>0</v>
      </c>
      <c r="R63" s="66">
        <v>0</v>
      </c>
      <c r="S63" s="66">
        <v>0</v>
      </c>
      <c r="T63" s="67">
        <v>0</v>
      </c>
      <c r="U63" s="68">
        <v>0</v>
      </c>
      <c r="V63" s="68">
        <v>0</v>
      </c>
      <c r="W63" s="69"/>
      <c r="X63" s="70">
        <v>0</v>
      </c>
      <c r="Y63" s="66">
        <v>0</v>
      </c>
      <c r="Z63" s="66">
        <v>0</v>
      </c>
      <c r="AA63" s="66">
        <v>0</v>
      </c>
      <c r="AB63" s="66">
        <v>0</v>
      </c>
      <c r="AC63" s="66">
        <v>80.23518275811854</v>
      </c>
      <c r="AD63" s="66">
        <v>18.58344255133246</v>
      </c>
      <c r="AE63" s="70">
        <v>0</v>
      </c>
      <c r="AF63" s="66">
        <v>0</v>
      </c>
      <c r="AG63" s="66">
        <v>0</v>
      </c>
      <c r="AH63" s="66">
        <v>0</v>
      </c>
      <c r="AI63" s="66">
        <v>0</v>
      </c>
      <c r="AJ63" s="66">
        <v>0</v>
      </c>
      <c r="AK63" s="66">
        <v>0</v>
      </c>
      <c r="AL63" s="70">
        <v>0</v>
      </c>
      <c r="AM63" s="66">
        <v>0</v>
      </c>
      <c r="AN63" s="66">
        <v>0</v>
      </c>
      <c r="AO63" s="66">
        <v>0</v>
      </c>
      <c r="AP63" s="66">
        <v>0</v>
      </c>
      <c r="AQ63" s="71">
        <v>0</v>
      </c>
      <c r="AR63" s="71">
        <v>0</v>
      </c>
      <c r="AS63" s="111"/>
      <c r="AT63">
        <f t="shared" si="1"/>
        <v>1</v>
      </c>
      <c r="AU63" t="str">
        <f t="shared" si="0"/>
        <v>Curaçao</v>
      </c>
    </row>
    <row r="64" spans="1:47">
      <c r="A64">
        <v>112</v>
      </c>
      <c r="B64" s="72" t="s">
        <v>324</v>
      </c>
      <c r="C64" s="73" t="s">
        <v>43</v>
      </c>
      <c r="D64" s="73">
        <v>2015</v>
      </c>
      <c r="E64" s="59">
        <v>99.369660863636369</v>
      </c>
      <c r="F64" s="60">
        <v>0</v>
      </c>
      <c r="G64" s="60">
        <v>0.63033913636362859</v>
      </c>
      <c r="H64" s="61">
        <v>0</v>
      </c>
      <c r="I64" s="62">
        <v>-4.202260822057724E-2</v>
      </c>
      <c r="J64" s="63">
        <v>0</v>
      </c>
      <c r="K64" s="64">
        <v>98.581818181818193</v>
      </c>
      <c r="L64" s="60">
        <v>0</v>
      </c>
      <c r="M64" s="65">
        <v>1.4181818181818071</v>
      </c>
      <c r="N64" s="61">
        <v>0</v>
      </c>
      <c r="O64" s="63">
        <v>-9.4545453786849976E-2</v>
      </c>
      <c r="P64" s="63">
        <v>0</v>
      </c>
      <c r="Q64" s="74">
        <v>99.759090909090915</v>
      </c>
      <c r="R64" s="66">
        <v>0</v>
      </c>
      <c r="S64" s="66">
        <v>0.24090909090908499</v>
      </c>
      <c r="T64" s="67">
        <v>0</v>
      </c>
      <c r="U64" s="68">
        <v>-1.6060605645179749E-2</v>
      </c>
      <c r="V64" s="68">
        <v>0</v>
      </c>
      <c r="W64" s="69"/>
      <c r="X64" s="70">
        <v>75.599550431818187</v>
      </c>
      <c r="Y64" s="66">
        <v>23.770110431818178</v>
      </c>
      <c r="Z64" s="66">
        <v>0</v>
      </c>
      <c r="AA64" s="66">
        <v>51.829440000000012</v>
      </c>
      <c r="AB64" s="66">
        <v>47.540220863636357</v>
      </c>
      <c r="AC64" s="66">
        <v>0</v>
      </c>
      <c r="AD64" s="66">
        <v>51.829440000000012</v>
      </c>
      <c r="AE64" s="70">
        <v>0</v>
      </c>
      <c r="AF64" s="66">
        <v>0</v>
      </c>
      <c r="AG64" s="66">
        <v>0</v>
      </c>
      <c r="AH64" s="66">
        <v>9</v>
      </c>
      <c r="AI64" s="66">
        <v>89.581818181818193</v>
      </c>
      <c r="AJ64" s="66">
        <v>0</v>
      </c>
      <c r="AK64" s="66">
        <v>9</v>
      </c>
      <c r="AL64" s="70">
        <v>86.37954545454545</v>
      </c>
      <c r="AM64" s="66">
        <v>13.379545454545459</v>
      </c>
      <c r="AN64" s="66">
        <v>0</v>
      </c>
      <c r="AO64" s="66">
        <v>73</v>
      </c>
      <c r="AP64" s="66">
        <v>26.759090909090919</v>
      </c>
      <c r="AQ64" s="71">
        <v>0</v>
      </c>
      <c r="AR64" s="71">
        <v>73</v>
      </c>
      <c r="AS64" s="111"/>
      <c r="AT64">
        <f t="shared" si="1"/>
        <v>0</v>
      </c>
      <c r="AU64" t="str">
        <f t="shared" si="0"/>
        <v>Cyprus</v>
      </c>
    </row>
    <row r="65" spans="1:47">
      <c r="A65">
        <v>114</v>
      </c>
      <c r="B65" s="72" t="s">
        <v>325</v>
      </c>
      <c r="C65" s="73" t="s">
        <v>44</v>
      </c>
      <c r="D65" s="73">
        <v>2015</v>
      </c>
      <c r="E65" s="59">
        <v>99.136160183476747</v>
      </c>
      <c r="F65" s="60">
        <v>0.85468176104732385</v>
      </c>
      <c r="G65" s="60">
        <v>9.1580554759219009E-3</v>
      </c>
      <c r="H65" s="61">
        <v>0</v>
      </c>
      <c r="I65" s="62">
        <v>-2.3676712589804083E-4</v>
      </c>
      <c r="J65" s="63">
        <v>0</v>
      </c>
      <c r="K65" s="64">
        <v>99.253783575696275</v>
      </c>
      <c r="L65" s="60">
        <v>0.71259126669730655</v>
      </c>
      <c r="M65" s="65">
        <v>3.3625157606422797E-2</v>
      </c>
      <c r="N65" s="61">
        <v>0</v>
      </c>
      <c r="O65" s="63">
        <v>-1.9651234615594149E-3</v>
      </c>
      <c r="P65" s="63">
        <v>0</v>
      </c>
      <c r="Q65" s="74">
        <v>99.092637981357811</v>
      </c>
      <c r="R65" s="66">
        <v>0.90725711274895249</v>
      </c>
      <c r="S65" s="66">
        <v>1.0490589323809999E-4</v>
      </c>
      <c r="T65" s="67">
        <v>0</v>
      </c>
      <c r="U65" s="68">
        <v>2.2625309065915644E-4</v>
      </c>
      <c r="V65" s="68">
        <v>0</v>
      </c>
      <c r="W65" s="69"/>
      <c r="X65" s="70">
        <v>81.933616923749838</v>
      </c>
      <c r="Y65" s="66">
        <v>5.4698954080449083</v>
      </c>
      <c r="Z65" s="66">
        <v>0</v>
      </c>
      <c r="AA65" s="66">
        <v>76.463721515704933</v>
      </c>
      <c r="AB65" s="66">
        <v>1.424055942757013</v>
      </c>
      <c r="AC65" s="66">
        <v>9.5157348733328035</v>
      </c>
      <c r="AD65" s="66">
        <v>88.196369367386936</v>
      </c>
      <c r="AE65" s="70">
        <v>74.512367022380118</v>
      </c>
      <c r="AF65" s="66">
        <v>15.72032355974223</v>
      </c>
      <c r="AG65" s="66">
        <v>0</v>
      </c>
      <c r="AH65" s="66">
        <v>58.792043462637892</v>
      </c>
      <c r="AI65" s="66">
        <v>3.1338752253907689</v>
      </c>
      <c r="AJ65" s="66">
        <v>28.306771894093689</v>
      </c>
      <c r="AK65" s="66">
        <v>67.813136456211808</v>
      </c>
      <c r="AL65" s="70">
        <v>84.674129333640792</v>
      </c>
      <c r="AM65" s="66">
        <v>1.6845246358402011</v>
      </c>
      <c r="AN65" s="66">
        <v>0</v>
      </c>
      <c r="AO65" s="66">
        <v>82.989604697800587</v>
      </c>
      <c r="AP65" s="66">
        <v>0.79263798135782071</v>
      </c>
      <c r="AQ65" s="71">
        <v>2.5764112903225809</v>
      </c>
      <c r="AR65" s="71">
        <v>95.723588709677415</v>
      </c>
      <c r="AS65" s="111"/>
      <c r="AT65">
        <f t="shared" si="1"/>
        <v>0.13302869421766103</v>
      </c>
      <c r="AU65" t="str">
        <f t="shared" si="0"/>
        <v>Czech Republic</v>
      </c>
    </row>
    <row r="66" spans="1:47">
      <c r="A66">
        <v>116</v>
      </c>
      <c r="B66" s="72" t="s">
        <v>326</v>
      </c>
      <c r="C66" s="73" t="s">
        <v>45</v>
      </c>
      <c r="D66" s="73">
        <v>2015</v>
      </c>
      <c r="E66" s="59">
        <v>77.134651186631046</v>
      </c>
      <c r="F66" s="60">
        <v>4.4728653228378281</v>
      </c>
      <c r="G66" s="60">
        <v>18.392483490531141</v>
      </c>
      <c r="H66" s="61">
        <v>0</v>
      </c>
      <c r="I66" s="62">
        <v>0</v>
      </c>
      <c r="J66" s="63">
        <v>0</v>
      </c>
      <c r="K66" s="64">
        <v>68.422159915789265</v>
      </c>
      <c r="L66" s="60">
        <v>2.515693040201382</v>
      </c>
      <c r="M66" s="65">
        <v>29.062147044009372</v>
      </c>
      <c r="N66" s="61">
        <v>0</v>
      </c>
      <c r="O66" s="63">
        <v>0</v>
      </c>
      <c r="P66" s="63">
        <v>0</v>
      </c>
      <c r="Q66" s="74">
        <v>82.734260566042693</v>
      </c>
      <c r="R66" s="66">
        <v>5.7307604449429776</v>
      </c>
      <c r="S66" s="66">
        <v>11.534978989014331</v>
      </c>
      <c r="T66" s="67">
        <v>0</v>
      </c>
      <c r="U66" s="68">
        <v>0</v>
      </c>
      <c r="V66" s="68">
        <v>0</v>
      </c>
      <c r="W66" s="69"/>
      <c r="X66" s="70">
        <v>0</v>
      </c>
      <c r="Y66" s="66">
        <v>0</v>
      </c>
      <c r="Z66" s="66">
        <v>0</v>
      </c>
      <c r="AA66" s="66">
        <v>0</v>
      </c>
      <c r="AB66" s="66">
        <v>17.81236730268979</v>
      </c>
      <c r="AC66" s="66">
        <v>4.0806237841687523</v>
      </c>
      <c r="AD66" s="66">
        <v>55.241660099772488</v>
      </c>
      <c r="AE66" s="70">
        <v>0</v>
      </c>
      <c r="AF66" s="66">
        <v>0</v>
      </c>
      <c r="AG66" s="66">
        <v>0</v>
      </c>
      <c r="AH66" s="66">
        <v>0</v>
      </c>
      <c r="AI66" s="66">
        <v>22.7995757924066</v>
      </c>
      <c r="AJ66" s="66">
        <v>5.6907663071449832</v>
      </c>
      <c r="AK66" s="66">
        <v>39.931817816237682</v>
      </c>
      <c r="AL66" s="70">
        <v>0</v>
      </c>
      <c r="AM66" s="66">
        <v>0</v>
      </c>
      <c r="AN66" s="66">
        <v>0</v>
      </c>
      <c r="AO66" s="66">
        <v>0</v>
      </c>
      <c r="AP66" s="66">
        <v>14.743763594314361</v>
      </c>
      <c r="AQ66" s="71">
        <v>3.0862261348927569</v>
      </c>
      <c r="AR66" s="71">
        <v>64.904270836835565</v>
      </c>
      <c r="AS66" s="111"/>
      <c r="AT66">
        <f t="shared" si="1"/>
        <v>1</v>
      </c>
      <c r="AU66" t="str">
        <f t="shared" si="0"/>
        <v>Democratic People's Republic of Korea</v>
      </c>
    </row>
    <row r="67" spans="1:47">
      <c r="A67">
        <v>118</v>
      </c>
      <c r="B67" s="72" t="s">
        <v>327</v>
      </c>
      <c r="C67" s="73" t="s">
        <v>46</v>
      </c>
      <c r="D67" s="73">
        <v>2015</v>
      </c>
      <c r="E67" s="59">
        <v>19.713686628226121</v>
      </c>
      <c r="F67" s="60">
        <v>21.039375810680902</v>
      </c>
      <c r="G67" s="60">
        <v>47.169191104089357</v>
      </c>
      <c r="H67" s="61">
        <v>12.077746457003601</v>
      </c>
      <c r="I67" s="62">
        <v>-0.17657133936882019</v>
      </c>
      <c r="J67" s="63">
        <v>0.12482908368110657</v>
      </c>
      <c r="K67" s="64">
        <v>17.546825561803381</v>
      </c>
      <c r="L67" s="60">
        <v>12.735178776757079</v>
      </c>
      <c r="M67" s="65">
        <v>51.358764033272791</v>
      </c>
      <c r="N67" s="61">
        <v>18.35923162816675</v>
      </c>
      <c r="O67" s="63">
        <v>-0.26066359877586365</v>
      </c>
      <c r="P67" s="63">
        <v>0.26830810308456421</v>
      </c>
      <c r="Q67" s="74">
        <v>22.64604207807097</v>
      </c>
      <c r="R67" s="66">
        <v>32.277224792485953</v>
      </c>
      <c r="S67" s="66">
        <v>41.499553487823022</v>
      </c>
      <c r="T67" s="67">
        <v>3.577179641620063</v>
      </c>
      <c r="U67" s="68">
        <v>-9.2588610947132111E-2</v>
      </c>
      <c r="V67" s="68">
        <v>6.6639192402362823E-2</v>
      </c>
      <c r="W67" s="69"/>
      <c r="X67" s="70">
        <v>0</v>
      </c>
      <c r="Y67" s="66">
        <v>0</v>
      </c>
      <c r="Z67" s="66">
        <v>0</v>
      </c>
      <c r="AA67" s="66">
        <v>0</v>
      </c>
      <c r="AB67" s="66">
        <v>17.099341161108072</v>
      </c>
      <c r="AC67" s="66">
        <v>2.552936217649767</v>
      </c>
      <c r="AD67" s="66">
        <v>6.1409249468282599E-2</v>
      </c>
      <c r="AE67" s="70">
        <v>0</v>
      </c>
      <c r="AF67" s="66">
        <v>0</v>
      </c>
      <c r="AG67" s="66">
        <v>0</v>
      </c>
      <c r="AH67" s="66">
        <v>0</v>
      </c>
      <c r="AI67" s="66">
        <v>17.34471397630438</v>
      </c>
      <c r="AJ67" s="66">
        <v>0.13236007252897239</v>
      </c>
      <c r="AK67" s="66">
        <v>6.97515129700262E-2</v>
      </c>
      <c r="AL67" s="70">
        <v>0</v>
      </c>
      <c r="AM67" s="66">
        <v>0</v>
      </c>
      <c r="AN67" s="66">
        <v>0</v>
      </c>
      <c r="AO67" s="66">
        <v>0</v>
      </c>
      <c r="AP67" s="66">
        <v>17.596654713334921</v>
      </c>
      <c r="AQ67" s="71">
        <v>4.9933767836793264</v>
      </c>
      <c r="AR67" s="71">
        <v>5.6010581056721902E-2</v>
      </c>
      <c r="AS67" s="111"/>
      <c r="AT67">
        <f t="shared" si="1"/>
        <v>1</v>
      </c>
      <c r="AU67" t="str">
        <f t="shared" si="0"/>
        <v>Democratic Republic of the Congo</v>
      </c>
    </row>
    <row r="68" spans="1:47">
      <c r="A68">
        <v>120</v>
      </c>
      <c r="B68" s="72" t="s">
        <v>328</v>
      </c>
      <c r="C68" s="73" t="s">
        <v>47</v>
      </c>
      <c r="D68" s="73">
        <v>2015</v>
      </c>
      <c r="E68" s="59">
        <v>99.597230204996336</v>
      </c>
      <c r="F68" s="60">
        <v>0.40276979500365739</v>
      </c>
      <c r="G68" s="60">
        <v>0</v>
      </c>
      <c r="H68" s="61">
        <v>0</v>
      </c>
      <c r="I68" s="62">
        <v>-6.9595148488588165E-7</v>
      </c>
      <c r="J68" s="63">
        <v>0</v>
      </c>
      <c r="K68" s="64">
        <v>99.597585513078471</v>
      </c>
      <c r="L68" s="60">
        <v>0.4024144869215292</v>
      </c>
      <c r="M68" s="65">
        <v>0</v>
      </c>
      <c r="N68" s="61">
        <v>0</v>
      </c>
      <c r="O68" s="63">
        <v>0</v>
      </c>
      <c r="P68" s="63">
        <v>0</v>
      </c>
      <c r="Q68" s="74">
        <v>99.597180261832833</v>
      </c>
      <c r="R68" s="66">
        <v>0.4028197381671702</v>
      </c>
      <c r="S68" s="66">
        <v>0</v>
      </c>
      <c r="T68" s="67">
        <v>0</v>
      </c>
      <c r="U68" s="68">
        <v>0</v>
      </c>
      <c r="V68" s="68">
        <v>0</v>
      </c>
      <c r="W68" s="69"/>
      <c r="X68" s="70">
        <v>93.205169398278542</v>
      </c>
      <c r="Y68" s="66">
        <v>4.7607476037988263</v>
      </c>
      <c r="Z68" s="66">
        <v>0</v>
      </c>
      <c r="AA68" s="66">
        <v>88.444421794479723</v>
      </c>
      <c r="AB68" s="66">
        <v>0</v>
      </c>
      <c r="AC68" s="66">
        <v>9.5214952075976491</v>
      </c>
      <c r="AD68" s="66">
        <v>90.075734997398683</v>
      </c>
      <c r="AE68" s="70">
        <v>0</v>
      </c>
      <c r="AF68" s="66">
        <v>0</v>
      </c>
      <c r="AG68" s="66">
        <v>0</v>
      </c>
      <c r="AH68" s="66">
        <v>0</v>
      </c>
      <c r="AI68" s="66">
        <v>0</v>
      </c>
      <c r="AJ68" s="66">
        <v>0</v>
      </c>
      <c r="AK68" s="66">
        <v>0</v>
      </c>
      <c r="AL68" s="70">
        <v>0</v>
      </c>
      <c r="AM68" s="66">
        <v>0</v>
      </c>
      <c r="AN68" s="66">
        <v>0</v>
      </c>
      <c r="AO68" s="66">
        <v>0</v>
      </c>
      <c r="AP68" s="66">
        <v>0</v>
      </c>
      <c r="AQ68" s="71">
        <v>0</v>
      </c>
      <c r="AR68" s="71">
        <v>0</v>
      </c>
      <c r="AS68" s="111"/>
      <c r="AT68">
        <f t="shared" si="1"/>
        <v>1.8110462301152153E-2</v>
      </c>
      <c r="AU68" t="str">
        <f t="shared" si="0"/>
        <v>Denmark</v>
      </c>
    </row>
    <row r="69" spans="1:47">
      <c r="A69">
        <v>122</v>
      </c>
      <c r="B69" s="72" t="s">
        <v>329</v>
      </c>
      <c r="C69" s="73" t="s">
        <v>48</v>
      </c>
      <c r="D69" s="73">
        <v>2015</v>
      </c>
      <c r="E69" s="59">
        <v>51.378058153258607</v>
      </c>
      <c r="F69" s="60">
        <v>4.0396406371247684</v>
      </c>
      <c r="G69" s="60">
        <v>21.75440822362539</v>
      </c>
      <c r="H69" s="61">
        <v>22.82789298599123</v>
      </c>
      <c r="I69" s="62">
        <v>2.6830809190869331E-2</v>
      </c>
      <c r="J69" s="63">
        <v>0.48057535290718079</v>
      </c>
      <c r="K69" s="64">
        <v>12.996271575102639</v>
      </c>
      <c r="L69" s="60">
        <v>1.6149213199831689</v>
      </c>
      <c r="M69" s="65">
        <v>8.3525126445266125</v>
      </c>
      <c r="N69" s="61">
        <v>77.03629446038758</v>
      </c>
      <c r="O69" s="63">
        <v>0</v>
      </c>
      <c r="P69" s="63">
        <v>1.1222221851348877</v>
      </c>
      <c r="Q69" s="74">
        <v>62.621688973129579</v>
      </c>
      <c r="R69" s="66">
        <v>4.749942352451006</v>
      </c>
      <c r="S69" s="66">
        <v>25.68038404736691</v>
      </c>
      <c r="T69" s="67">
        <v>6.9479846270525059</v>
      </c>
      <c r="U69" s="68">
        <v>0</v>
      </c>
      <c r="V69" s="68">
        <v>0.3333333432674408</v>
      </c>
      <c r="W69" s="69"/>
      <c r="X69" s="70">
        <v>0</v>
      </c>
      <c r="Y69" s="66">
        <v>0</v>
      </c>
      <c r="Z69" s="66">
        <v>0</v>
      </c>
      <c r="AA69" s="66">
        <v>0</v>
      </c>
      <c r="AB69" s="66">
        <v>36.164254547625369</v>
      </c>
      <c r="AC69" s="66">
        <v>10.4812651975093</v>
      </c>
      <c r="AD69" s="66">
        <v>4.7325384081239541</v>
      </c>
      <c r="AE69" s="70">
        <v>0</v>
      </c>
      <c r="AF69" s="66">
        <v>0</v>
      </c>
      <c r="AG69" s="66">
        <v>0</v>
      </c>
      <c r="AH69" s="66">
        <v>0</v>
      </c>
      <c r="AI69" s="66">
        <v>12.64048210141843</v>
      </c>
      <c r="AJ69" s="66">
        <v>0.35578947368421049</v>
      </c>
      <c r="AK69" s="66">
        <v>0</v>
      </c>
      <c r="AL69" s="70">
        <v>0</v>
      </c>
      <c r="AM69" s="66">
        <v>0</v>
      </c>
      <c r="AN69" s="66">
        <v>0</v>
      </c>
      <c r="AO69" s="66">
        <v>0</v>
      </c>
      <c r="AP69" s="66">
        <v>43.009314872410151</v>
      </c>
      <c r="AQ69" s="71">
        <v>13.47769784172662</v>
      </c>
      <c r="AR69" s="71">
        <v>6.1346762589928057</v>
      </c>
      <c r="AS69" s="111"/>
      <c r="AT69">
        <f t="shared" si="1"/>
        <v>1</v>
      </c>
      <c r="AU69" t="str">
        <f t="shared" si="0"/>
        <v>Djibouti</v>
      </c>
    </row>
    <row r="70" spans="1:47">
      <c r="A70">
        <v>124</v>
      </c>
      <c r="B70" s="72" t="s">
        <v>330</v>
      </c>
      <c r="C70" s="73" t="s">
        <v>49</v>
      </c>
      <c r="D70" s="73">
        <v>2015</v>
      </c>
      <c r="E70" s="59">
        <v>77.892761495562752</v>
      </c>
      <c r="F70" s="60">
        <v>3.076845048681272</v>
      </c>
      <c r="G70" s="60">
        <v>15.27667799828396</v>
      </c>
      <c r="H70" s="61">
        <v>3.7537154574720262</v>
      </c>
      <c r="I70" s="62">
        <v>0.92402255535125732</v>
      </c>
      <c r="J70" s="63">
        <v>-0.89697098731994629</v>
      </c>
      <c r="K70" s="64">
        <v>0</v>
      </c>
      <c r="L70" s="60">
        <v>0</v>
      </c>
      <c r="M70" s="65">
        <v>0</v>
      </c>
      <c r="N70" s="61">
        <v>0</v>
      </c>
      <c r="O70" s="63">
        <v>0</v>
      </c>
      <c r="P70" s="63">
        <v>0</v>
      </c>
      <c r="Q70" s="74">
        <v>0</v>
      </c>
      <c r="R70" s="66">
        <v>0</v>
      </c>
      <c r="S70" s="66">
        <v>0</v>
      </c>
      <c r="T70" s="67">
        <v>0</v>
      </c>
      <c r="U70" s="68">
        <v>0</v>
      </c>
      <c r="V70" s="68">
        <v>0</v>
      </c>
      <c r="W70" s="69"/>
      <c r="X70" s="70">
        <v>0</v>
      </c>
      <c r="Y70" s="66">
        <v>0</v>
      </c>
      <c r="Z70" s="66">
        <v>0</v>
      </c>
      <c r="AA70" s="66">
        <v>0</v>
      </c>
      <c r="AB70" s="66">
        <v>12.41978649997302</v>
      </c>
      <c r="AC70" s="66">
        <v>51.168911744379493</v>
      </c>
      <c r="AD70" s="66">
        <v>14.304063251210239</v>
      </c>
      <c r="AE70" s="70">
        <v>0</v>
      </c>
      <c r="AF70" s="66">
        <v>0</v>
      </c>
      <c r="AG70" s="66">
        <v>0</v>
      </c>
      <c r="AH70" s="66">
        <v>0</v>
      </c>
      <c r="AI70" s="66">
        <v>0</v>
      </c>
      <c r="AJ70" s="66">
        <v>0</v>
      </c>
      <c r="AK70" s="66">
        <v>0</v>
      </c>
      <c r="AL70" s="70">
        <v>0</v>
      </c>
      <c r="AM70" s="66">
        <v>0</v>
      </c>
      <c r="AN70" s="66">
        <v>0</v>
      </c>
      <c r="AO70" s="66">
        <v>0</v>
      </c>
      <c r="AP70" s="66">
        <v>0</v>
      </c>
      <c r="AQ70" s="71">
        <v>0</v>
      </c>
      <c r="AR70" s="71">
        <v>0</v>
      </c>
      <c r="AS70" s="111"/>
      <c r="AT70">
        <f t="shared" si="1"/>
        <v>1</v>
      </c>
      <c r="AU70" t="str">
        <f t="shared" si="0"/>
        <v>Dominica</v>
      </c>
    </row>
    <row r="71" spans="1:47">
      <c r="A71">
        <v>126</v>
      </c>
      <c r="B71" s="72" t="s">
        <v>331</v>
      </c>
      <c r="C71" s="73" t="s">
        <v>50</v>
      </c>
      <c r="D71" s="73">
        <v>2015</v>
      </c>
      <c r="E71" s="59">
        <v>82.696981738506594</v>
      </c>
      <c r="F71" s="60">
        <v>11.57804893771732</v>
      </c>
      <c r="G71" s="60">
        <v>2.4390808134811288</v>
      </c>
      <c r="H71" s="61">
        <v>3.2858885102949649</v>
      </c>
      <c r="I71" s="62">
        <v>0.22364677488803864</v>
      </c>
      <c r="J71" s="63">
        <v>-9.7338780760765076E-2</v>
      </c>
      <c r="K71" s="64">
        <v>73.612895881133966</v>
      </c>
      <c r="L71" s="60">
        <v>14.80370682400036</v>
      </c>
      <c r="M71" s="65">
        <v>3.8145776380655998</v>
      </c>
      <c r="N71" s="61">
        <v>7.7688196568000762</v>
      </c>
      <c r="O71" s="63">
        <v>0.23376142978668213</v>
      </c>
      <c r="P71" s="63">
        <v>-9.1039091348648071E-2</v>
      </c>
      <c r="Q71" s="74">
        <v>85.114650575199079</v>
      </c>
      <c r="R71" s="66">
        <v>10.71956161472834</v>
      </c>
      <c r="S71" s="66">
        <v>2.0730015117241578</v>
      </c>
      <c r="T71" s="67">
        <v>2.0927862983484289</v>
      </c>
      <c r="U71" s="68">
        <v>3.3624572679400444E-3</v>
      </c>
      <c r="V71" s="68">
        <v>4.374620970338583E-3</v>
      </c>
      <c r="W71" s="69"/>
      <c r="X71" s="70">
        <v>0</v>
      </c>
      <c r="Y71" s="66">
        <v>0</v>
      </c>
      <c r="Z71" s="66">
        <v>0</v>
      </c>
      <c r="AA71" s="66">
        <v>10.01628692347745</v>
      </c>
      <c r="AB71" s="66">
        <v>14.14687102462314</v>
      </c>
      <c r="AC71" s="66">
        <v>47.982786435695701</v>
      </c>
      <c r="AD71" s="66">
        <v>20.567324278187769</v>
      </c>
      <c r="AE71" s="70">
        <v>0</v>
      </c>
      <c r="AF71" s="66">
        <v>0</v>
      </c>
      <c r="AG71" s="66">
        <v>0</v>
      </c>
      <c r="AH71" s="66">
        <v>2.216349227887926</v>
      </c>
      <c r="AI71" s="66">
        <v>32.620729369236557</v>
      </c>
      <c r="AJ71" s="66">
        <v>36.441141403297983</v>
      </c>
      <c r="AK71" s="66">
        <v>4.5510251085994362</v>
      </c>
      <c r="AL71" s="70">
        <v>0</v>
      </c>
      <c r="AM71" s="66">
        <v>0</v>
      </c>
      <c r="AN71" s="66">
        <v>0</v>
      </c>
      <c r="AO71" s="66">
        <v>12.211212819641069</v>
      </c>
      <c r="AP71" s="66">
        <v>8.8743673271471319</v>
      </c>
      <c r="AQ71" s="71">
        <v>51.165924275483022</v>
      </c>
      <c r="AR71" s="71">
        <v>25.07435897256893</v>
      </c>
      <c r="AS71" s="111"/>
      <c r="AT71">
        <f t="shared" si="1"/>
        <v>0.51299999999999968</v>
      </c>
      <c r="AU71" t="str">
        <f t="shared" si="0"/>
        <v>Dominican Republic</v>
      </c>
    </row>
    <row r="72" spans="1:47">
      <c r="A72">
        <v>128</v>
      </c>
      <c r="B72" s="72" t="s">
        <v>332</v>
      </c>
      <c r="C72" s="73" t="s">
        <v>51</v>
      </c>
      <c r="D72" s="73">
        <v>2015</v>
      </c>
      <c r="E72" s="59">
        <v>86.138215956466297</v>
      </c>
      <c r="F72" s="60">
        <v>9.4941016377265495</v>
      </c>
      <c r="G72" s="60">
        <v>1.3641410549149511</v>
      </c>
      <c r="H72" s="61">
        <v>3.0035413508922182</v>
      </c>
      <c r="I72" s="62">
        <v>1.02186119556427</v>
      </c>
      <c r="J72" s="63">
        <v>-0.76567530632019043</v>
      </c>
      <c r="K72" s="64">
        <v>80.339926624553257</v>
      </c>
      <c r="L72" s="60">
        <v>8.1061780882201244</v>
      </c>
      <c r="M72" s="65">
        <v>3.3695866806961021</v>
      </c>
      <c r="N72" s="61">
        <v>8.1843086065305215</v>
      </c>
      <c r="O72" s="63">
        <v>1.808911919593811</v>
      </c>
      <c r="P72" s="63">
        <v>-1.4020096063613892</v>
      </c>
      <c r="Q72" s="74">
        <v>89.436423960553114</v>
      </c>
      <c r="R72" s="66">
        <v>10.2835863112229</v>
      </c>
      <c r="S72" s="66">
        <v>0.22339480441178239</v>
      </c>
      <c r="T72" s="67">
        <v>5.6594923812212997E-2</v>
      </c>
      <c r="U72" s="68">
        <v>0.4690386950969696</v>
      </c>
      <c r="V72" s="68">
        <v>-0.31577253341674805</v>
      </c>
      <c r="W72" s="69"/>
      <c r="X72" s="70">
        <v>42.36644901816009</v>
      </c>
      <c r="Y72" s="66">
        <v>26.542223104304281</v>
      </c>
      <c r="Z72" s="66">
        <v>0</v>
      </c>
      <c r="AA72" s="66">
        <v>15.824225913855811</v>
      </c>
      <c r="AB72" s="66">
        <v>6.3909029677750917</v>
      </c>
      <c r="AC72" s="66">
        <v>24.70652720136664</v>
      </c>
      <c r="AD72" s="66">
        <v>55.040785787324552</v>
      </c>
      <c r="AE72" s="70">
        <v>56.642611803433439</v>
      </c>
      <c r="AF72" s="66">
        <v>50.269388221184052</v>
      </c>
      <c r="AG72" s="66">
        <v>0</v>
      </c>
      <c r="AH72" s="66">
        <v>6.3732235822493903</v>
      </c>
      <c r="AI72" s="66">
        <v>16.329569015908369</v>
      </c>
      <c r="AJ72" s="66">
        <v>41.84262340951657</v>
      </c>
      <c r="AK72" s="66">
        <v>22.167734199128319</v>
      </c>
      <c r="AL72" s="70">
        <v>34.369752466400563</v>
      </c>
      <c r="AM72" s="66">
        <v>13.229818156513319</v>
      </c>
      <c r="AN72" s="66">
        <v>0</v>
      </c>
      <c r="AO72" s="66">
        <v>21.139934309887249</v>
      </c>
      <c r="AP72" s="66">
        <v>0.81204767917483966</v>
      </c>
      <c r="AQ72" s="71">
        <v>15.09416998611829</v>
      </c>
      <c r="AR72" s="71">
        <v>73.530206295259987</v>
      </c>
      <c r="AS72" s="111"/>
      <c r="AT72">
        <f t="shared" si="1"/>
        <v>0.71249999999999991</v>
      </c>
      <c r="AU72" t="str">
        <f t="shared" ref="AU72:AU135" si="2">C72</f>
        <v>Ecuador</v>
      </c>
    </row>
    <row r="73" spans="1:47">
      <c r="A73">
        <v>130</v>
      </c>
      <c r="B73" s="72" t="s">
        <v>333</v>
      </c>
      <c r="C73" s="73" t="s">
        <v>52</v>
      </c>
      <c r="D73" s="73">
        <v>2015</v>
      </c>
      <c r="E73" s="59">
        <v>93.169479836342646</v>
      </c>
      <c r="F73" s="60">
        <v>4.1173729209585339</v>
      </c>
      <c r="G73" s="60">
        <v>2.6441425860863181</v>
      </c>
      <c r="H73" s="61">
        <v>6.9004656612508097E-2</v>
      </c>
      <c r="I73" s="62">
        <v>4.839663952589035E-2</v>
      </c>
      <c r="J73" s="63">
        <v>-0.11661551892757416</v>
      </c>
      <c r="K73" s="64">
        <v>90.032953952972932</v>
      </c>
      <c r="L73" s="60">
        <v>5.3728152975417514</v>
      </c>
      <c r="M73" s="65">
        <v>4.5942307494853196</v>
      </c>
      <c r="N73" s="61">
        <v>0</v>
      </c>
      <c r="O73" s="63">
        <v>5.1124114543199539E-2</v>
      </c>
      <c r="P73" s="63">
        <v>-0.20089778304100037</v>
      </c>
      <c r="Q73" s="74">
        <v>97.304371324874438</v>
      </c>
      <c r="R73" s="66">
        <v>2.4623194668167798</v>
      </c>
      <c r="S73" s="66">
        <v>7.3335505718073804E-2</v>
      </c>
      <c r="T73" s="67">
        <v>0.15997370259072241</v>
      </c>
      <c r="U73" s="68">
        <v>4.0922541171312332E-2</v>
      </c>
      <c r="V73" s="68">
        <v>-4.047029186040163E-3</v>
      </c>
      <c r="W73" s="69"/>
      <c r="X73" s="70">
        <v>60.606290741928973</v>
      </c>
      <c r="Y73" s="66">
        <v>17.486164391944222</v>
      </c>
      <c r="Z73" s="66">
        <v>0</v>
      </c>
      <c r="AA73" s="66">
        <v>43.120126349984751</v>
      </c>
      <c r="AB73" s="66">
        <v>12.48025165342005</v>
      </c>
      <c r="AC73" s="66">
        <v>22.492077130468392</v>
      </c>
      <c r="AD73" s="66">
        <v>58.19715105245421</v>
      </c>
      <c r="AE73" s="70">
        <v>0</v>
      </c>
      <c r="AF73" s="66">
        <v>0</v>
      </c>
      <c r="AG73" s="66">
        <v>0</v>
      </c>
      <c r="AH73" s="66">
        <v>26.279117041200958</v>
      </c>
      <c r="AI73" s="66">
        <v>19.627359701190041</v>
      </c>
      <c r="AJ73" s="66">
        <v>36.44233876210631</v>
      </c>
      <c r="AK73" s="66">
        <v>33.963255489676577</v>
      </c>
      <c r="AL73" s="70">
        <v>69.646016237501968</v>
      </c>
      <c r="AM73" s="66">
        <v>3.0876110724787669</v>
      </c>
      <c r="AN73" s="66">
        <v>0</v>
      </c>
      <c r="AO73" s="66">
        <v>66.558405165023203</v>
      </c>
      <c r="AP73" s="66">
        <v>2.723779815829805</v>
      </c>
      <c r="AQ73" s="71">
        <v>3.4514423291277292</v>
      </c>
      <c r="AR73" s="71">
        <v>91.129149179916894</v>
      </c>
      <c r="AS73" s="111"/>
      <c r="AT73">
        <f t="shared" si="1"/>
        <v>0.25906808889803296</v>
      </c>
      <c r="AU73" t="str">
        <f t="shared" si="2"/>
        <v>Egypt</v>
      </c>
    </row>
    <row r="74" spans="1:47">
      <c r="A74">
        <v>132</v>
      </c>
      <c r="B74" s="72" t="s">
        <v>334</v>
      </c>
      <c r="C74" s="73" t="s">
        <v>53</v>
      </c>
      <c r="D74" s="73">
        <v>2015</v>
      </c>
      <c r="E74" s="59">
        <v>91.125073667576544</v>
      </c>
      <c r="F74" s="60">
        <v>6.5495207198687204</v>
      </c>
      <c r="G74" s="60">
        <v>0.76968089561546549</v>
      </c>
      <c r="H74" s="61">
        <v>1.5557247169392689</v>
      </c>
      <c r="I74" s="62">
        <v>0.61438292264938354</v>
      </c>
      <c r="J74" s="63">
        <v>-0.6122015118598938</v>
      </c>
      <c r="K74" s="64">
        <v>86.97716169603882</v>
      </c>
      <c r="L74" s="60">
        <v>6.5776006274500123</v>
      </c>
      <c r="M74" s="65">
        <v>1.7697411418616871</v>
      </c>
      <c r="N74" s="61">
        <v>4.6754965346494828</v>
      </c>
      <c r="O74" s="63">
        <v>1.0667614936828613</v>
      </c>
      <c r="P74" s="63">
        <v>-1.1003437042236328</v>
      </c>
      <c r="Q74" s="74">
        <v>93.193497114822691</v>
      </c>
      <c r="R74" s="66">
        <v>6.5355182194212214</v>
      </c>
      <c r="S74" s="66">
        <v>0.27098466575608882</v>
      </c>
      <c r="T74" s="67">
        <v>0</v>
      </c>
      <c r="U74" s="68">
        <v>0.24390439689159393</v>
      </c>
      <c r="V74" s="68">
        <v>-0.23040477931499481</v>
      </c>
      <c r="W74" s="69"/>
      <c r="X74" s="70">
        <v>0</v>
      </c>
      <c r="Y74" s="66">
        <v>0</v>
      </c>
      <c r="Z74" s="66">
        <v>0</v>
      </c>
      <c r="AA74" s="66">
        <v>0</v>
      </c>
      <c r="AB74" s="66">
        <v>42.321070665680359</v>
      </c>
      <c r="AC74" s="66">
        <v>14.22905024841123</v>
      </c>
      <c r="AD74" s="66">
        <v>34.574952753484958</v>
      </c>
      <c r="AE74" s="70">
        <v>0</v>
      </c>
      <c r="AF74" s="66">
        <v>0</v>
      </c>
      <c r="AG74" s="66">
        <v>0</v>
      </c>
      <c r="AH74" s="66">
        <v>0</v>
      </c>
      <c r="AI74" s="66">
        <v>71.208584137855254</v>
      </c>
      <c r="AJ74" s="66">
        <v>15.18182056605141</v>
      </c>
      <c r="AK74" s="66">
        <v>0.58675699213216048</v>
      </c>
      <c r="AL74" s="70">
        <v>0</v>
      </c>
      <c r="AM74" s="66">
        <v>0</v>
      </c>
      <c r="AN74" s="66">
        <v>0</v>
      </c>
      <c r="AO74" s="66">
        <v>0</v>
      </c>
      <c r="AP74" s="66">
        <v>27.836928307378692</v>
      </c>
      <c r="AQ74" s="71">
        <v>13.749837038003241</v>
      </c>
      <c r="AR74" s="71">
        <v>51.606731769440763</v>
      </c>
      <c r="AS74" s="111"/>
      <c r="AT74">
        <f t="shared" ref="AT74:AT137" si="3">(AD74-AA74)/AD74</f>
        <v>1</v>
      </c>
      <c r="AU74" t="str">
        <f t="shared" si="2"/>
        <v>El Salvador</v>
      </c>
    </row>
    <row r="75" spans="1:47">
      <c r="A75">
        <v>134</v>
      </c>
      <c r="B75" s="72" t="s">
        <v>335</v>
      </c>
      <c r="C75" s="73" t="s">
        <v>54</v>
      </c>
      <c r="D75" s="73">
        <v>2015</v>
      </c>
      <c r="E75" s="59">
        <v>74.537949385451697</v>
      </c>
      <c r="F75" s="60">
        <v>8.0011552432717732</v>
      </c>
      <c r="G75" s="60">
        <v>13.039586371276529</v>
      </c>
      <c r="H75" s="61">
        <v>4.4213089999999999</v>
      </c>
      <c r="I75" s="62">
        <v>-0.37602177262306213</v>
      </c>
      <c r="J75" s="63">
        <v>0.29475393891334534</v>
      </c>
      <c r="K75" s="64">
        <v>70.975064494095705</v>
      </c>
      <c r="L75" s="60">
        <v>5.8866692346623486</v>
      </c>
      <c r="M75" s="65">
        <v>18.038266271241952</v>
      </c>
      <c r="N75" s="61">
        <v>5.0999999999999996</v>
      </c>
      <c r="O75" s="63">
        <v>-0.59211504459381104</v>
      </c>
      <c r="P75" s="63">
        <v>0.34000000357627869</v>
      </c>
      <c r="Q75" s="74">
        <v>79.89945617647426</v>
      </c>
      <c r="R75" s="66">
        <v>11.18307984661392</v>
      </c>
      <c r="S75" s="66">
        <v>5.5174639769118183</v>
      </c>
      <c r="T75" s="67">
        <v>3.4</v>
      </c>
      <c r="U75" s="68">
        <v>-5.2385222166776657E-2</v>
      </c>
      <c r="V75" s="68">
        <v>0.22666667401790619</v>
      </c>
      <c r="W75" s="69"/>
      <c r="X75" s="70">
        <v>0</v>
      </c>
      <c r="Y75" s="66">
        <v>0</v>
      </c>
      <c r="Z75" s="66">
        <v>0</v>
      </c>
      <c r="AA75" s="66">
        <v>0</v>
      </c>
      <c r="AB75" s="66">
        <v>61.478939269624028</v>
      </c>
      <c r="AC75" s="66">
        <v>5.2188653647300978</v>
      </c>
      <c r="AD75" s="66">
        <v>7.8401447510975641</v>
      </c>
      <c r="AE75" s="70">
        <v>0</v>
      </c>
      <c r="AF75" s="66">
        <v>0</v>
      </c>
      <c r="AG75" s="66">
        <v>0</v>
      </c>
      <c r="AH75" s="66">
        <v>0</v>
      </c>
      <c r="AI75" s="66">
        <v>59.379334387509481</v>
      </c>
      <c r="AJ75" s="66">
        <v>4.8940847879672909</v>
      </c>
      <c r="AK75" s="66">
        <v>6.7016453186189322</v>
      </c>
      <c r="AL75" s="70">
        <v>0</v>
      </c>
      <c r="AM75" s="66">
        <v>0</v>
      </c>
      <c r="AN75" s="66">
        <v>0</v>
      </c>
      <c r="AO75" s="66">
        <v>0</v>
      </c>
      <c r="AP75" s="66">
        <v>64.701631594100107</v>
      </c>
      <c r="AQ75" s="71">
        <v>5.7019324211112812</v>
      </c>
      <c r="AR75" s="71">
        <v>9.4958921612628764</v>
      </c>
      <c r="AS75" s="111"/>
      <c r="AT75">
        <f t="shared" si="3"/>
        <v>1</v>
      </c>
      <c r="AU75" t="str">
        <f t="shared" si="2"/>
        <v>Equatorial Guinea</v>
      </c>
    </row>
    <row r="76" spans="1:47">
      <c r="A76">
        <v>136</v>
      </c>
      <c r="B76" s="72" t="s">
        <v>336</v>
      </c>
      <c r="C76" s="73" t="s">
        <v>55</v>
      </c>
      <c r="D76" s="73">
        <v>2015</v>
      </c>
      <c r="E76" s="59">
        <v>11.25752674992189</v>
      </c>
      <c r="F76" s="60">
        <v>4.5653635000781687</v>
      </c>
      <c r="G76" s="60">
        <v>8.1472372499998507</v>
      </c>
      <c r="H76" s="61">
        <v>76.029872500000096</v>
      </c>
      <c r="I76" s="62">
        <v>0.2472023218870163</v>
      </c>
      <c r="J76" s="63">
        <v>-0.79132598638534546</v>
      </c>
      <c r="K76" s="64">
        <v>6.1142857142857334</v>
      </c>
      <c r="L76" s="60">
        <v>1.48571428571429</v>
      </c>
      <c r="M76" s="65">
        <v>3.7499999999998859</v>
      </c>
      <c r="N76" s="61">
        <v>88.650000000000091</v>
      </c>
      <c r="O76" s="63">
        <v>0.30571427941322327</v>
      </c>
      <c r="P76" s="63">
        <v>-0.62000000476837158</v>
      </c>
      <c r="Q76" s="74">
        <v>28.83479212253841</v>
      </c>
      <c r="R76" s="66">
        <v>15.09020787746177</v>
      </c>
      <c r="S76" s="66">
        <v>23.174999999999731</v>
      </c>
      <c r="T76" s="67">
        <v>32.900000000000091</v>
      </c>
      <c r="U76" s="68">
        <v>-0.46608313918113708</v>
      </c>
      <c r="V76" s="68">
        <v>-0.51999998092651367</v>
      </c>
      <c r="W76" s="69"/>
      <c r="X76" s="70">
        <v>0</v>
      </c>
      <c r="Y76" s="66">
        <v>0</v>
      </c>
      <c r="Z76" s="66">
        <v>0</v>
      </c>
      <c r="AA76" s="66">
        <v>0</v>
      </c>
      <c r="AB76" s="66">
        <v>7.5017804417552831</v>
      </c>
      <c r="AC76" s="66">
        <v>2.489808240118458</v>
      </c>
      <c r="AD76" s="66">
        <v>1.2659380680481489</v>
      </c>
      <c r="AE76" s="70">
        <v>0</v>
      </c>
      <c r="AF76" s="66">
        <v>0</v>
      </c>
      <c r="AG76" s="66">
        <v>0</v>
      </c>
      <c r="AH76" s="66">
        <v>0</v>
      </c>
      <c r="AI76" s="66">
        <v>5.2293233082706951</v>
      </c>
      <c r="AJ76" s="66">
        <v>0.88496240601503773</v>
      </c>
      <c r="AK76" s="66">
        <v>0</v>
      </c>
      <c r="AL76" s="70">
        <v>0</v>
      </c>
      <c r="AM76" s="66">
        <v>0</v>
      </c>
      <c r="AN76" s="66">
        <v>0</v>
      </c>
      <c r="AO76" s="66">
        <v>0</v>
      </c>
      <c r="AP76" s="66">
        <v>15.994364740027439</v>
      </c>
      <c r="AQ76" s="71">
        <v>7.6805251641137833</v>
      </c>
      <c r="AR76" s="71">
        <v>5.1599022183971819</v>
      </c>
      <c r="AS76" s="111"/>
      <c r="AT76">
        <f t="shared" si="3"/>
        <v>1</v>
      </c>
      <c r="AU76" t="str">
        <f t="shared" si="2"/>
        <v>Eritrea</v>
      </c>
    </row>
    <row r="77" spans="1:47">
      <c r="A77">
        <v>138</v>
      </c>
      <c r="B77" s="72" t="s">
        <v>337</v>
      </c>
      <c r="C77" s="73" t="s">
        <v>56</v>
      </c>
      <c r="D77" s="73">
        <v>2015</v>
      </c>
      <c r="E77" s="59">
        <v>99.6088323567771</v>
      </c>
      <c r="F77" s="60">
        <v>0.31204923384282701</v>
      </c>
      <c r="G77" s="60">
        <v>7.9118409380062801E-2</v>
      </c>
      <c r="H77" s="61">
        <v>0</v>
      </c>
      <c r="I77" s="62">
        <v>3.3875439316034317E-2</v>
      </c>
      <c r="J77" s="63">
        <v>0</v>
      </c>
      <c r="K77" s="64">
        <v>99.639233450804937</v>
      </c>
      <c r="L77" s="60">
        <v>0.28674560959037931</v>
      </c>
      <c r="M77" s="65">
        <v>7.4020939604679398E-2</v>
      </c>
      <c r="N77" s="61">
        <v>0</v>
      </c>
      <c r="O77" s="63">
        <v>7.3654115200042725E-2</v>
      </c>
      <c r="P77" s="63">
        <v>0</v>
      </c>
      <c r="Q77" s="74">
        <v>99.594220133816236</v>
      </c>
      <c r="R77" s="66">
        <v>0.3242113685001009</v>
      </c>
      <c r="S77" s="66">
        <v>8.1568497683662103E-2</v>
      </c>
      <c r="T77" s="67">
        <v>0</v>
      </c>
      <c r="U77" s="68">
        <v>1.623053103685379E-2</v>
      </c>
      <c r="V77" s="68">
        <v>0</v>
      </c>
      <c r="W77" s="69"/>
      <c r="X77" s="70">
        <v>92.903693755441864</v>
      </c>
      <c r="Y77" s="66">
        <v>6.0116438461672432</v>
      </c>
      <c r="Z77" s="66">
        <v>0</v>
      </c>
      <c r="AA77" s="66">
        <v>86.892049909274618</v>
      </c>
      <c r="AB77" s="66">
        <v>8.6169043481330103</v>
      </c>
      <c r="AC77" s="66">
        <v>3.406383344201477</v>
      </c>
      <c r="AD77" s="66">
        <v>87.585544664442622</v>
      </c>
      <c r="AE77" s="70">
        <v>81.123496835779378</v>
      </c>
      <c r="AF77" s="66">
        <v>18.01203729816017</v>
      </c>
      <c r="AG77" s="66">
        <v>0</v>
      </c>
      <c r="AH77" s="66">
        <v>63.111459537619197</v>
      </c>
      <c r="AI77" s="66">
        <v>26.551335608088468</v>
      </c>
      <c r="AJ77" s="66">
        <v>9.4727389882318569</v>
      </c>
      <c r="AK77" s="66">
        <v>63.615158854484612</v>
      </c>
      <c r="AL77" s="70">
        <v>98.563685478555854</v>
      </c>
      <c r="AM77" s="66">
        <v>0.24584947776476451</v>
      </c>
      <c r="AN77" s="66">
        <v>0</v>
      </c>
      <c r="AO77" s="66">
        <v>98.31783600079109</v>
      </c>
      <c r="AP77" s="66">
        <v>0</v>
      </c>
      <c r="AQ77" s="71">
        <v>0.49169895552952891</v>
      </c>
      <c r="AR77" s="71">
        <v>99.102521178286707</v>
      </c>
      <c r="AS77" s="111"/>
      <c r="AT77">
        <f t="shared" si="3"/>
        <v>7.9179133705786515E-3</v>
      </c>
      <c r="AU77" t="str">
        <f t="shared" si="2"/>
        <v>Estonia</v>
      </c>
    </row>
    <row r="78" spans="1:47">
      <c r="A78">
        <v>140</v>
      </c>
      <c r="B78" s="72" t="s">
        <v>338</v>
      </c>
      <c r="C78" s="73" t="s">
        <v>57</v>
      </c>
      <c r="D78" s="73">
        <v>2015</v>
      </c>
      <c r="E78" s="59">
        <v>7.078918070378144</v>
      </c>
      <c r="F78" s="60">
        <v>6.8409999564075301</v>
      </c>
      <c r="G78" s="60">
        <v>58.917021973382752</v>
      </c>
      <c r="H78" s="61">
        <v>27.163059999831571</v>
      </c>
      <c r="I78" s="62">
        <v>0.26192206144332886</v>
      </c>
      <c r="J78" s="63">
        <v>-3.5101191997528076</v>
      </c>
      <c r="K78" s="64">
        <v>4.3281657417714721</v>
      </c>
      <c r="L78" s="60">
        <v>1.241879818720945</v>
      </c>
      <c r="M78" s="65">
        <v>62.435021473076183</v>
      </c>
      <c r="N78" s="61">
        <v>31.99493296643141</v>
      </c>
      <c r="O78" s="63">
        <v>0.2199932187795639</v>
      </c>
      <c r="P78" s="63">
        <v>-3.8448829650878906</v>
      </c>
      <c r="Q78" s="74">
        <v>18.454872441682479</v>
      </c>
      <c r="R78" s="66">
        <v>29.99660525877119</v>
      </c>
      <c r="S78" s="66">
        <v>44.368056088455091</v>
      </c>
      <c r="T78" s="67">
        <v>7.1804662110912432</v>
      </c>
      <c r="U78" s="68">
        <v>0.20210854709148407</v>
      </c>
      <c r="V78" s="68">
        <v>-1.0426772832870483</v>
      </c>
      <c r="W78" s="69"/>
      <c r="X78" s="70">
        <v>0</v>
      </c>
      <c r="Y78" s="66">
        <v>0</v>
      </c>
      <c r="Z78" s="66">
        <v>0</v>
      </c>
      <c r="AA78" s="66">
        <v>0</v>
      </c>
      <c r="AB78" s="66">
        <v>4.1785137767157483</v>
      </c>
      <c r="AC78" s="66">
        <v>1.8807842760486679</v>
      </c>
      <c r="AD78" s="66">
        <v>1.019620017613728</v>
      </c>
      <c r="AE78" s="70">
        <v>3.6958884705288169</v>
      </c>
      <c r="AF78" s="66">
        <v>3.063611199286163</v>
      </c>
      <c r="AG78" s="66">
        <v>0</v>
      </c>
      <c r="AH78" s="66">
        <v>0.63227727124265476</v>
      </c>
      <c r="AI78" s="66">
        <v>2.3893595363677829</v>
      </c>
      <c r="AJ78" s="66">
        <v>0.67425166291837968</v>
      </c>
      <c r="AK78" s="66">
        <v>1.26455454248531</v>
      </c>
      <c r="AL78" s="70">
        <v>0</v>
      </c>
      <c r="AM78" s="66">
        <v>0</v>
      </c>
      <c r="AN78" s="66">
        <v>0</v>
      </c>
      <c r="AO78" s="66">
        <v>0</v>
      </c>
      <c r="AP78" s="66">
        <v>11.228866792774181</v>
      </c>
      <c r="AQ78" s="71">
        <v>5.8675566321930051</v>
      </c>
      <c r="AR78" s="71">
        <v>1.3584490167152889</v>
      </c>
      <c r="AS78" s="111"/>
      <c r="AT78">
        <f t="shared" si="3"/>
        <v>1</v>
      </c>
      <c r="AU78" t="str">
        <f t="shared" si="2"/>
        <v>Ethiopia</v>
      </c>
    </row>
    <row r="79" spans="1:47">
      <c r="A79">
        <v>142</v>
      </c>
      <c r="B79" s="72" t="s">
        <v>339</v>
      </c>
      <c r="C79" s="73" t="s">
        <v>58</v>
      </c>
      <c r="D79" s="73">
        <v>2015</v>
      </c>
      <c r="E79" s="59">
        <v>100</v>
      </c>
      <c r="F79" s="60">
        <v>0</v>
      </c>
      <c r="G79" s="60">
        <v>0</v>
      </c>
      <c r="H79" s="61">
        <v>0</v>
      </c>
      <c r="I79" s="62">
        <v>0</v>
      </c>
      <c r="J79" s="63">
        <v>0</v>
      </c>
      <c r="K79" s="64">
        <v>100</v>
      </c>
      <c r="L79" s="60">
        <v>0</v>
      </c>
      <c r="M79" s="65">
        <v>0</v>
      </c>
      <c r="N79" s="61">
        <v>0</v>
      </c>
      <c r="O79" s="63">
        <v>0</v>
      </c>
      <c r="P79" s="63">
        <v>0</v>
      </c>
      <c r="Q79" s="74">
        <v>100</v>
      </c>
      <c r="R79" s="66">
        <v>0</v>
      </c>
      <c r="S79" s="66">
        <v>0</v>
      </c>
      <c r="T79" s="67">
        <v>0</v>
      </c>
      <c r="U79" s="68">
        <v>0</v>
      </c>
      <c r="V79" s="68">
        <v>0</v>
      </c>
      <c r="W79" s="69"/>
      <c r="X79" s="70">
        <v>0</v>
      </c>
      <c r="Y79" s="66">
        <v>0</v>
      </c>
      <c r="Z79" s="66">
        <v>0</v>
      </c>
      <c r="AA79" s="66">
        <v>0</v>
      </c>
      <c r="AB79" s="66">
        <v>99</v>
      </c>
      <c r="AC79" s="66">
        <v>0</v>
      </c>
      <c r="AD79" s="66">
        <v>1</v>
      </c>
      <c r="AE79" s="70">
        <v>0</v>
      </c>
      <c r="AF79" s="66">
        <v>0</v>
      </c>
      <c r="AG79" s="66">
        <v>0</v>
      </c>
      <c r="AH79" s="66">
        <v>0</v>
      </c>
      <c r="AI79" s="66">
        <v>99</v>
      </c>
      <c r="AJ79" s="66">
        <v>0</v>
      </c>
      <c r="AK79" s="66">
        <v>1</v>
      </c>
      <c r="AL79" s="70">
        <v>0</v>
      </c>
      <c r="AM79" s="66">
        <v>0</v>
      </c>
      <c r="AN79" s="66">
        <v>0</v>
      </c>
      <c r="AO79" s="66">
        <v>0</v>
      </c>
      <c r="AP79" s="66">
        <v>99</v>
      </c>
      <c r="AQ79" s="71">
        <v>0</v>
      </c>
      <c r="AR79" s="71">
        <v>1</v>
      </c>
      <c r="AS79" s="111"/>
      <c r="AT79">
        <f t="shared" si="3"/>
        <v>1</v>
      </c>
      <c r="AU79" t="str">
        <f t="shared" si="2"/>
        <v>Falkland Islands (Malvinas)</v>
      </c>
    </row>
    <row r="80" spans="1:47">
      <c r="A80">
        <v>144</v>
      </c>
      <c r="B80" s="72" t="s">
        <v>340</v>
      </c>
      <c r="C80" s="73" t="s">
        <v>59</v>
      </c>
      <c r="D80" s="73">
        <v>2015</v>
      </c>
      <c r="E80" s="59">
        <v>90.883475718135429</v>
      </c>
      <c r="F80" s="60">
        <v>0</v>
      </c>
      <c r="G80" s="60">
        <v>9.1165242818645709</v>
      </c>
      <c r="H80" s="61">
        <v>0</v>
      </c>
      <c r="I80" s="62">
        <v>0</v>
      </c>
      <c r="J80" s="63">
        <v>0</v>
      </c>
      <c r="K80" s="64">
        <v>0</v>
      </c>
      <c r="L80" s="60">
        <v>0</v>
      </c>
      <c r="M80" s="65">
        <v>0</v>
      </c>
      <c r="N80" s="61">
        <v>0</v>
      </c>
      <c r="O80" s="63">
        <v>0</v>
      </c>
      <c r="P80" s="63">
        <v>0</v>
      </c>
      <c r="Q80" s="74">
        <v>0</v>
      </c>
      <c r="R80" s="66">
        <v>0</v>
      </c>
      <c r="S80" s="66">
        <v>0</v>
      </c>
      <c r="T80" s="67">
        <v>0</v>
      </c>
      <c r="U80" s="68">
        <v>0</v>
      </c>
      <c r="V80" s="68">
        <v>0</v>
      </c>
      <c r="W80" s="69"/>
      <c r="X80" s="70">
        <v>0</v>
      </c>
      <c r="Y80" s="66">
        <v>0</v>
      </c>
      <c r="Z80" s="66">
        <v>0</v>
      </c>
      <c r="AA80" s="66">
        <v>0</v>
      </c>
      <c r="AB80" s="66">
        <v>0.20633564589186901</v>
      </c>
      <c r="AC80" s="66">
        <v>90.67714007224356</v>
      </c>
      <c r="AD80" s="66">
        <v>0</v>
      </c>
      <c r="AE80" s="70">
        <v>0</v>
      </c>
      <c r="AF80" s="66">
        <v>0</v>
      </c>
      <c r="AG80" s="66">
        <v>0</v>
      </c>
      <c r="AH80" s="66">
        <v>0</v>
      </c>
      <c r="AI80" s="66">
        <v>0</v>
      </c>
      <c r="AJ80" s="66">
        <v>0</v>
      </c>
      <c r="AK80" s="66">
        <v>0</v>
      </c>
      <c r="AL80" s="70">
        <v>0</v>
      </c>
      <c r="AM80" s="66">
        <v>0</v>
      </c>
      <c r="AN80" s="66">
        <v>0</v>
      </c>
      <c r="AO80" s="66">
        <v>0</v>
      </c>
      <c r="AP80" s="66">
        <v>0</v>
      </c>
      <c r="AQ80" s="71">
        <v>0</v>
      </c>
      <c r="AR80" s="71">
        <v>0</v>
      </c>
      <c r="AS80" s="111"/>
      <c r="AT80" t="e">
        <f t="shared" si="3"/>
        <v>#DIV/0!</v>
      </c>
      <c r="AU80" t="str">
        <f t="shared" si="2"/>
        <v>Faroe Islands</v>
      </c>
    </row>
    <row r="81" spans="1:47">
      <c r="A81">
        <v>146</v>
      </c>
      <c r="B81" s="72" t="s">
        <v>341</v>
      </c>
      <c r="C81" s="73" t="s">
        <v>60</v>
      </c>
      <c r="D81" s="73">
        <v>2015</v>
      </c>
      <c r="E81" s="59">
        <v>95.677046562728137</v>
      </c>
      <c r="F81" s="60">
        <v>3.7669203222006469</v>
      </c>
      <c r="G81" s="60">
        <v>0.41888376338205252</v>
      </c>
      <c r="H81" s="61">
        <v>0.13714935168914921</v>
      </c>
      <c r="I81" s="62">
        <v>1.0128272771835327</v>
      </c>
      <c r="J81" s="63">
        <v>-3.2787993550300598E-2</v>
      </c>
      <c r="K81" s="64">
        <v>95.187176380631939</v>
      </c>
      <c r="L81" s="60">
        <v>3.9177187321894511</v>
      </c>
      <c r="M81" s="65">
        <v>0.70830030001008026</v>
      </c>
      <c r="N81" s="61">
        <v>0.18680458716852399</v>
      </c>
      <c r="O81" s="63">
        <v>1.631351113319397</v>
      </c>
      <c r="P81" s="63">
        <v>-6.2966205179691315E-2</v>
      </c>
      <c r="Q81" s="74">
        <v>96.098935951239824</v>
      </c>
      <c r="R81" s="66">
        <v>3.637048671906538</v>
      </c>
      <c r="S81" s="66">
        <v>0.16963045071731481</v>
      </c>
      <c r="T81" s="67">
        <v>9.4384926136334493E-2</v>
      </c>
      <c r="U81" s="68">
        <v>0.33290097117424011</v>
      </c>
      <c r="V81" s="68">
        <v>7.7429210068657994E-4</v>
      </c>
      <c r="W81" s="69"/>
      <c r="X81" s="70">
        <v>0</v>
      </c>
      <c r="Y81" s="66">
        <v>0</v>
      </c>
      <c r="Z81" s="66">
        <v>0</v>
      </c>
      <c r="AA81" s="66">
        <v>0</v>
      </c>
      <c r="AB81" s="66">
        <v>0</v>
      </c>
      <c r="AC81" s="66">
        <v>0</v>
      </c>
      <c r="AD81" s="66">
        <v>0</v>
      </c>
      <c r="AE81" s="70">
        <v>0</v>
      </c>
      <c r="AF81" s="66">
        <v>0</v>
      </c>
      <c r="AG81" s="66">
        <v>0</v>
      </c>
      <c r="AH81" s="66">
        <v>0</v>
      </c>
      <c r="AI81" s="66">
        <v>0</v>
      </c>
      <c r="AJ81" s="66">
        <v>0</v>
      </c>
      <c r="AK81" s="66">
        <v>0</v>
      </c>
      <c r="AL81" s="70">
        <v>0</v>
      </c>
      <c r="AM81" s="66">
        <v>0</v>
      </c>
      <c r="AN81" s="66">
        <v>0</v>
      </c>
      <c r="AO81" s="66">
        <v>0</v>
      </c>
      <c r="AP81" s="66">
        <v>0</v>
      </c>
      <c r="AQ81" s="71">
        <v>0</v>
      </c>
      <c r="AR81" s="71">
        <v>0</v>
      </c>
      <c r="AS81" s="111"/>
      <c r="AT81" t="e">
        <f t="shared" si="3"/>
        <v>#DIV/0!</v>
      </c>
      <c r="AU81" t="str">
        <f t="shared" si="2"/>
        <v>Fiji</v>
      </c>
    </row>
    <row r="82" spans="1:47">
      <c r="A82">
        <v>148</v>
      </c>
      <c r="B82" s="72" t="s">
        <v>342</v>
      </c>
      <c r="C82" s="73" t="s">
        <v>61</v>
      </c>
      <c r="D82" s="73">
        <v>2015</v>
      </c>
      <c r="E82" s="59">
        <v>99.447924636546603</v>
      </c>
      <c r="F82" s="60">
        <v>0.55190642542095203</v>
      </c>
      <c r="G82" s="60">
        <v>1.6893803243990001E-4</v>
      </c>
      <c r="H82" s="61">
        <v>0</v>
      </c>
      <c r="I82" s="62">
        <v>-1.9057510144193657E-5</v>
      </c>
      <c r="J82" s="63">
        <v>0</v>
      </c>
      <c r="K82" s="64">
        <v>99.452835321595373</v>
      </c>
      <c r="L82" s="60">
        <v>0.54609402733396062</v>
      </c>
      <c r="M82" s="65">
        <v>1.0706510706626001E-3</v>
      </c>
      <c r="N82" s="61">
        <v>0</v>
      </c>
      <c r="O82" s="63">
        <v>-6.2499377236235887E-5</v>
      </c>
      <c r="P82" s="63">
        <v>0</v>
      </c>
      <c r="Q82" s="74">
        <v>99.447004608294932</v>
      </c>
      <c r="R82" s="66">
        <v>0.55299539170506917</v>
      </c>
      <c r="S82" s="66">
        <v>0</v>
      </c>
      <c r="T82" s="67">
        <v>0</v>
      </c>
      <c r="U82" s="68">
        <v>0</v>
      </c>
      <c r="V82" s="68">
        <v>0</v>
      </c>
      <c r="W82" s="69"/>
      <c r="X82" s="70">
        <v>91.603589151924808</v>
      </c>
      <c r="Y82" s="66">
        <v>7.8443354846218076</v>
      </c>
      <c r="Z82" s="66">
        <v>0</v>
      </c>
      <c r="AA82" s="66">
        <v>83.759253667303</v>
      </c>
      <c r="AB82" s="66">
        <v>15.688670969243621</v>
      </c>
      <c r="AC82" s="66">
        <v>0</v>
      </c>
      <c r="AD82" s="66">
        <v>83.759253667303</v>
      </c>
      <c r="AE82" s="70">
        <v>0</v>
      </c>
      <c r="AF82" s="66">
        <v>0</v>
      </c>
      <c r="AG82" s="66">
        <v>0</v>
      </c>
      <c r="AH82" s="66">
        <v>19.576715077402611</v>
      </c>
      <c r="AI82" s="66">
        <v>79.876120244192762</v>
      </c>
      <c r="AJ82" s="66">
        <v>0</v>
      </c>
      <c r="AK82" s="66">
        <v>19.576715077402611</v>
      </c>
      <c r="AL82" s="70">
        <v>97.615086102352663</v>
      </c>
      <c r="AM82" s="66">
        <v>1.8319185059422709</v>
      </c>
      <c r="AN82" s="66">
        <v>0</v>
      </c>
      <c r="AO82" s="66">
        <v>95.783167596410394</v>
      </c>
      <c r="AP82" s="66">
        <v>3.6638370118845409</v>
      </c>
      <c r="AQ82" s="71">
        <v>0</v>
      </c>
      <c r="AR82" s="71">
        <v>95.783167596410394</v>
      </c>
      <c r="AS82" s="111"/>
      <c r="AT82">
        <f t="shared" si="3"/>
        <v>0</v>
      </c>
      <c r="AU82" t="str">
        <f t="shared" si="2"/>
        <v>Finland</v>
      </c>
    </row>
    <row r="83" spans="1:47">
      <c r="A83">
        <v>150</v>
      </c>
      <c r="B83" s="72" t="s">
        <v>343</v>
      </c>
      <c r="C83" s="73" t="s">
        <v>62</v>
      </c>
      <c r="D83" s="73">
        <v>2015</v>
      </c>
      <c r="E83" s="59">
        <v>98.652004028197382</v>
      </c>
      <c r="F83" s="60">
        <v>1.347995971802618</v>
      </c>
      <c r="G83" s="60">
        <v>0</v>
      </c>
      <c r="H83" s="61">
        <v>0</v>
      </c>
      <c r="I83" s="62">
        <v>-7.3494459502398968E-4</v>
      </c>
      <c r="J83" s="63">
        <v>0</v>
      </c>
      <c r="K83" s="64">
        <v>98.892245720040279</v>
      </c>
      <c r="L83" s="60">
        <v>1.107754279959718</v>
      </c>
      <c r="M83" s="65">
        <v>0</v>
      </c>
      <c r="N83" s="61">
        <v>0</v>
      </c>
      <c r="O83" s="63">
        <v>0</v>
      </c>
      <c r="P83" s="63">
        <v>0</v>
      </c>
      <c r="Q83" s="74">
        <v>98.590130916414907</v>
      </c>
      <c r="R83" s="66">
        <v>1.409869083585096</v>
      </c>
      <c r="S83" s="66">
        <v>0</v>
      </c>
      <c r="T83" s="67">
        <v>0</v>
      </c>
      <c r="U83" s="68">
        <v>0</v>
      </c>
      <c r="V83" s="68">
        <v>0</v>
      </c>
      <c r="W83" s="69"/>
      <c r="X83" s="70">
        <v>92.098014279009405</v>
      </c>
      <c r="Y83" s="66">
        <v>5.9034648478205174</v>
      </c>
      <c r="Z83" s="66">
        <v>0</v>
      </c>
      <c r="AA83" s="66">
        <v>86.194549431188889</v>
      </c>
      <c r="AB83" s="66">
        <v>0</v>
      </c>
      <c r="AC83" s="66">
        <v>11.80692969564104</v>
      </c>
      <c r="AD83" s="66">
        <v>86.845074332556351</v>
      </c>
      <c r="AE83" s="70">
        <v>0</v>
      </c>
      <c r="AF83" s="66">
        <v>0</v>
      </c>
      <c r="AG83" s="66">
        <v>0</v>
      </c>
      <c r="AH83" s="66">
        <v>0</v>
      </c>
      <c r="AI83" s="66">
        <v>0</v>
      </c>
      <c r="AJ83" s="66">
        <v>0</v>
      </c>
      <c r="AK83" s="66">
        <v>0</v>
      </c>
      <c r="AL83" s="70">
        <v>0</v>
      </c>
      <c r="AM83" s="66">
        <v>0</v>
      </c>
      <c r="AN83" s="66">
        <v>0</v>
      </c>
      <c r="AO83" s="66">
        <v>0</v>
      </c>
      <c r="AP83" s="66">
        <v>0</v>
      </c>
      <c r="AQ83" s="71">
        <v>0</v>
      </c>
      <c r="AR83" s="71">
        <v>0</v>
      </c>
      <c r="AS83" s="111"/>
      <c r="AT83">
        <f t="shared" si="3"/>
        <v>7.4906367041198286E-3</v>
      </c>
      <c r="AU83" t="str">
        <f t="shared" si="2"/>
        <v>France</v>
      </c>
    </row>
    <row r="84" spans="1:47">
      <c r="A84">
        <v>152</v>
      </c>
      <c r="B84" s="72" t="s">
        <v>344</v>
      </c>
      <c r="C84" s="73" t="s">
        <v>63</v>
      </c>
      <c r="D84" s="73">
        <v>2015</v>
      </c>
      <c r="E84" s="59">
        <v>90.136357658247334</v>
      </c>
      <c r="F84" s="60">
        <v>0</v>
      </c>
      <c r="G84" s="60">
        <v>9.8636423417526657</v>
      </c>
      <c r="H84" s="61">
        <v>0</v>
      </c>
      <c r="I84" s="62">
        <v>0</v>
      </c>
      <c r="J84" s="63">
        <v>0</v>
      </c>
      <c r="K84" s="64">
        <v>0</v>
      </c>
      <c r="L84" s="60">
        <v>0</v>
      </c>
      <c r="M84" s="65">
        <v>0</v>
      </c>
      <c r="N84" s="61">
        <v>0</v>
      </c>
      <c r="O84" s="63">
        <v>0</v>
      </c>
      <c r="P84" s="63">
        <v>0</v>
      </c>
      <c r="Q84" s="74">
        <v>0</v>
      </c>
      <c r="R84" s="66">
        <v>0</v>
      </c>
      <c r="S84" s="66">
        <v>0</v>
      </c>
      <c r="T84" s="67">
        <v>0</v>
      </c>
      <c r="U84" s="68">
        <v>0</v>
      </c>
      <c r="V84" s="68">
        <v>0</v>
      </c>
      <c r="W84" s="69"/>
      <c r="X84" s="70">
        <v>57.946527506553437</v>
      </c>
      <c r="Y84" s="66">
        <v>2.1403499043577772</v>
      </c>
      <c r="Z84" s="66">
        <v>0</v>
      </c>
      <c r="AA84" s="66">
        <v>55.80617760219566</v>
      </c>
      <c r="AB84" s="66">
        <v>4.2806998087155526</v>
      </c>
      <c r="AC84" s="66">
        <v>0</v>
      </c>
      <c r="AD84" s="66">
        <v>85.855657849531781</v>
      </c>
      <c r="AE84" s="70">
        <v>0</v>
      </c>
      <c r="AF84" s="66">
        <v>0</v>
      </c>
      <c r="AG84" s="66">
        <v>0</v>
      </c>
      <c r="AH84" s="66">
        <v>0</v>
      </c>
      <c r="AI84" s="66">
        <v>0</v>
      </c>
      <c r="AJ84" s="66">
        <v>0</v>
      </c>
      <c r="AK84" s="66">
        <v>0</v>
      </c>
      <c r="AL84" s="70">
        <v>0</v>
      </c>
      <c r="AM84" s="66">
        <v>0</v>
      </c>
      <c r="AN84" s="66">
        <v>0</v>
      </c>
      <c r="AO84" s="66">
        <v>0</v>
      </c>
      <c r="AP84" s="66">
        <v>0</v>
      </c>
      <c r="AQ84" s="71">
        <v>0</v>
      </c>
      <c r="AR84" s="71">
        <v>0</v>
      </c>
      <c r="AS84" s="111"/>
      <c r="AT84">
        <f t="shared" si="3"/>
        <v>0.35</v>
      </c>
      <c r="AU84" t="str">
        <f t="shared" si="2"/>
        <v>French Guiana</v>
      </c>
    </row>
    <row r="85" spans="1:47">
      <c r="A85">
        <v>154</v>
      </c>
      <c r="B85" s="72" t="s">
        <v>345</v>
      </c>
      <c r="C85" s="73" t="s">
        <v>64</v>
      </c>
      <c r="D85" s="73">
        <v>2015</v>
      </c>
      <c r="E85" s="59">
        <v>96.854613829627482</v>
      </c>
      <c r="F85" s="60">
        <v>0</v>
      </c>
      <c r="G85" s="60">
        <v>3.1453861703725181</v>
      </c>
      <c r="H85" s="61">
        <v>0</v>
      </c>
      <c r="I85" s="62">
        <v>-0.10114274173974991</v>
      </c>
      <c r="J85" s="63">
        <v>-0.1010885164141655</v>
      </c>
      <c r="K85" s="64">
        <v>0</v>
      </c>
      <c r="L85" s="60">
        <v>0</v>
      </c>
      <c r="M85" s="65">
        <v>0</v>
      </c>
      <c r="N85" s="61">
        <v>0</v>
      </c>
      <c r="O85" s="63">
        <v>0</v>
      </c>
      <c r="P85" s="63">
        <v>0</v>
      </c>
      <c r="Q85" s="74">
        <v>0</v>
      </c>
      <c r="R85" s="66">
        <v>0</v>
      </c>
      <c r="S85" s="66">
        <v>0</v>
      </c>
      <c r="T85" s="67">
        <v>0</v>
      </c>
      <c r="U85" s="68">
        <v>0</v>
      </c>
      <c r="V85" s="68">
        <v>0</v>
      </c>
      <c r="W85" s="69"/>
      <c r="X85" s="70">
        <v>0</v>
      </c>
      <c r="Y85" s="66">
        <v>0</v>
      </c>
      <c r="Z85" s="66">
        <v>0</v>
      </c>
      <c r="AA85" s="66">
        <v>0</v>
      </c>
      <c r="AB85" s="66">
        <v>0</v>
      </c>
      <c r="AC85" s="66">
        <v>80.282613829627479</v>
      </c>
      <c r="AD85" s="66">
        <v>16.571999999999999</v>
      </c>
      <c r="AE85" s="70">
        <v>0</v>
      </c>
      <c r="AF85" s="66">
        <v>0</v>
      </c>
      <c r="AG85" s="66">
        <v>0</v>
      </c>
      <c r="AH85" s="66">
        <v>0</v>
      </c>
      <c r="AI85" s="66">
        <v>0</v>
      </c>
      <c r="AJ85" s="66">
        <v>0</v>
      </c>
      <c r="AK85" s="66">
        <v>0</v>
      </c>
      <c r="AL85" s="70">
        <v>0</v>
      </c>
      <c r="AM85" s="66">
        <v>0</v>
      </c>
      <c r="AN85" s="66">
        <v>0</v>
      </c>
      <c r="AO85" s="66">
        <v>0</v>
      </c>
      <c r="AP85" s="66">
        <v>0</v>
      </c>
      <c r="AQ85" s="71">
        <v>0</v>
      </c>
      <c r="AR85" s="71">
        <v>0</v>
      </c>
      <c r="AS85" s="111"/>
      <c r="AT85">
        <f t="shared" si="3"/>
        <v>1</v>
      </c>
      <c r="AU85" t="str">
        <f t="shared" si="2"/>
        <v>French Polynesia</v>
      </c>
    </row>
    <row r="86" spans="1:47">
      <c r="A86">
        <v>156</v>
      </c>
      <c r="B86" s="72" t="s">
        <v>346</v>
      </c>
      <c r="C86" s="73" t="s">
        <v>65</v>
      </c>
      <c r="D86" s="73">
        <v>2015</v>
      </c>
      <c r="E86" s="59">
        <v>40.930385991297612</v>
      </c>
      <c r="F86" s="60">
        <v>33.429821139323067</v>
      </c>
      <c r="G86" s="60">
        <v>22.61341097512922</v>
      </c>
      <c r="H86" s="61">
        <v>3.0263818942500889</v>
      </c>
      <c r="I86" s="62">
        <v>0.12770342826843262</v>
      </c>
      <c r="J86" s="63">
        <v>8.8574036955833435E-2</v>
      </c>
      <c r="K86" s="64">
        <v>32.352684987967663</v>
      </c>
      <c r="L86" s="60">
        <v>19.514884622089671</v>
      </c>
      <c r="M86" s="65">
        <v>41.594574250309734</v>
      </c>
      <c r="N86" s="61">
        <v>6.537856139632936</v>
      </c>
      <c r="O86" s="63">
        <v>-0.14731238782405853</v>
      </c>
      <c r="P86" s="63">
        <v>0.25078681111335754</v>
      </c>
      <c r="Q86" s="74">
        <v>42.194464100512917</v>
      </c>
      <c r="R86" s="66">
        <v>35.480436640577672</v>
      </c>
      <c r="S86" s="66">
        <v>19.816196083367121</v>
      </c>
      <c r="T86" s="67">
        <v>2.508903175542287</v>
      </c>
      <c r="U86" s="68">
        <v>0.1381475031375885</v>
      </c>
      <c r="V86" s="68">
        <v>7.1954824030399323E-2</v>
      </c>
      <c r="W86" s="69"/>
      <c r="X86" s="70">
        <v>0</v>
      </c>
      <c r="Y86" s="66">
        <v>0</v>
      </c>
      <c r="Z86" s="66">
        <v>0</v>
      </c>
      <c r="AA86" s="66">
        <v>0</v>
      </c>
      <c r="AB86" s="66">
        <v>22.709163056069869</v>
      </c>
      <c r="AC86" s="66">
        <v>0</v>
      </c>
      <c r="AD86" s="66">
        <v>18.22122293522775</v>
      </c>
      <c r="AE86" s="70">
        <v>0</v>
      </c>
      <c r="AF86" s="66">
        <v>0</v>
      </c>
      <c r="AG86" s="66">
        <v>0</v>
      </c>
      <c r="AH86" s="66">
        <v>0</v>
      </c>
      <c r="AI86" s="66">
        <v>26.95174158951442</v>
      </c>
      <c r="AJ86" s="66">
        <v>0</v>
      </c>
      <c r="AK86" s="66">
        <v>5.4009433984532329</v>
      </c>
      <c r="AL86" s="70">
        <v>0</v>
      </c>
      <c r="AM86" s="66">
        <v>0</v>
      </c>
      <c r="AN86" s="66">
        <v>0</v>
      </c>
      <c r="AO86" s="66">
        <v>0</v>
      </c>
      <c r="AP86" s="66">
        <v>22.2552231869732</v>
      </c>
      <c r="AQ86" s="71">
        <v>0</v>
      </c>
      <c r="AR86" s="71">
        <v>19.93924091353972</v>
      </c>
      <c r="AS86" s="111"/>
      <c r="AT86">
        <f t="shared" si="3"/>
        <v>1</v>
      </c>
      <c r="AU86" t="str">
        <f t="shared" si="2"/>
        <v>Gabon</v>
      </c>
    </row>
    <row r="87" spans="1:47">
      <c r="A87">
        <v>158</v>
      </c>
      <c r="B87" s="72" t="s">
        <v>347</v>
      </c>
      <c r="C87" s="73" t="s">
        <v>66</v>
      </c>
      <c r="D87" s="73">
        <v>2015</v>
      </c>
      <c r="E87" s="59">
        <v>41.693760928564352</v>
      </c>
      <c r="F87" s="60">
        <v>27.69450066632362</v>
      </c>
      <c r="G87" s="60">
        <v>30.005312561675879</v>
      </c>
      <c r="H87" s="61">
        <v>0.60642584343614447</v>
      </c>
      <c r="I87" s="62">
        <v>-0.90148031711578369</v>
      </c>
      <c r="J87" s="63">
        <v>-0.35679829120635986</v>
      </c>
      <c r="K87" s="64">
        <v>35.352234385341418</v>
      </c>
      <c r="L87" s="60">
        <v>13.50811338876845</v>
      </c>
      <c r="M87" s="65">
        <v>49.637408261769679</v>
      </c>
      <c r="N87" s="61">
        <v>1.502243964120453</v>
      </c>
      <c r="O87" s="63">
        <v>-1.557891845703125</v>
      </c>
      <c r="P87" s="63">
        <v>-0.57428461313247681</v>
      </c>
      <c r="Q87" s="74">
        <v>45.986669828095202</v>
      </c>
      <c r="R87" s="66">
        <v>37.298003510775366</v>
      </c>
      <c r="S87" s="66">
        <v>16.715326661129438</v>
      </c>
      <c r="T87" s="67">
        <v>0</v>
      </c>
      <c r="U87" s="68">
        <v>-0.36083072423934937</v>
      </c>
      <c r="V87" s="68">
        <v>-9.5325939357280731E-2</v>
      </c>
      <c r="W87" s="69"/>
      <c r="X87" s="70">
        <v>0</v>
      </c>
      <c r="Y87" s="66">
        <v>0</v>
      </c>
      <c r="Z87" s="66">
        <v>0</v>
      </c>
      <c r="AA87" s="66">
        <v>0</v>
      </c>
      <c r="AB87" s="66">
        <v>29.381006017685689</v>
      </c>
      <c r="AC87" s="66">
        <v>10.71131401552103</v>
      </c>
      <c r="AD87" s="66">
        <v>1.60144089535764</v>
      </c>
      <c r="AE87" s="70">
        <v>0</v>
      </c>
      <c r="AF87" s="66">
        <v>0</v>
      </c>
      <c r="AG87" s="66">
        <v>0</v>
      </c>
      <c r="AH87" s="66">
        <v>0</v>
      </c>
      <c r="AI87" s="66">
        <v>34.338258123157317</v>
      </c>
      <c r="AJ87" s="66">
        <v>0.96140020409390103</v>
      </c>
      <c r="AK87" s="66">
        <v>5.2576058090196102E-2</v>
      </c>
      <c r="AL87" s="70">
        <v>0</v>
      </c>
      <c r="AM87" s="66">
        <v>0</v>
      </c>
      <c r="AN87" s="66">
        <v>0</v>
      </c>
      <c r="AO87" s="66">
        <v>0</v>
      </c>
      <c r="AP87" s="66">
        <v>27.536555671103621</v>
      </c>
      <c r="AQ87" s="71">
        <v>16.009456318396051</v>
      </c>
      <c r="AR87" s="71">
        <v>2.4406578385955249</v>
      </c>
      <c r="AS87" s="111"/>
      <c r="AT87">
        <f t="shared" si="3"/>
        <v>1</v>
      </c>
      <c r="AU87" t="str">
        <f t="shared" si="2"/>
        <v>Gambia</v>
      </c>
    </row>
    <row r="88" spans="1:47">
      <c r="A88">
        <v>160</v>
      </c>
      <c r="B88" s="72" t="s">
        <v>348</v>
      </c>
      <c r="C88" s="73" t="s">
        <v>67</v>
      </c>
      <c r="D88" s="73">
        <v>2015</v>
      </c>
      <c r="E88" s="59">
        <v>84.876717251169097</v>
      </c>
      <c r="F88" s="60">
        <v>1.7945702617072801</v>
      </c>
      <c r="G88" s="60">
        <v>13.328712487123619</v>
      </c>
      <c r="H88" s="61">
        <v>0</v>
      </c>
      <c r="I88" s="62">
        <v>-0.77818775177001953</v>
      </c>
      <c r="J88" s="63">
        <v>-7.0951595902442932E-2</v>
      </c>
      <c r="K88" s="64">
        <v>72.972906669925365</v>
      </c>
      <c r="L88" s="60">
        <v>0.77419721816317122</v>
      </c>
      <c r="M88" s="65">
        <v>26.252896111911468</v>
      </c>
      <c r="N88" s="61">
        <v>0</v>
      </c>
      <c r="O88" s="63">
        <v>-1.583585262298584</v>
      </c>
      <c r="P88" s="63">
        <v>-0.14980702102184296</v>
      </c>
      <c r="Q88" s="74">
        <v>95.164533562122998</v>
      </c>
      <c r="R88" s="66">
        <v>2.6764232086258941</v>
      </c>
      <c r="S88" s="66">
        <v>2.1590432292510968</v>
      </c>
      <c r="T88" s="67">
        <v>0</v>
      </c>
      <c r="U88" s="68">
        <v>-8.17069411277771E-2</v>
      </c>
      <c r="V88" s="68">
        <v>0</v>
      </c>
      <c r="W88" s="69"/>
      <c r="X88" s="70">
        <v>0</v>
      </c>
      <c r="Y88" s="66">
        <v>0</v>
      </c>
      <c r="Z88" s="66">
        <v>0</v>
      </c>
      <c r="AA88" s="66">
        <v>4.2170255122942342</v>
      </c>
      <c r="AB88" s="66">
        <v>41.085227033280233</v>
      </c>
      <c r="AC88" s="66">
        <v>1.6912245661141609</v>
      </c>
      <c r="AD88" s="66">
        <v>42.10026565177472</v>
      </c>
      <c r="AE88" s="70">
        <v>0</v>
      </c>
      <c r="AF88" s="66">
        <v>0</v>
      </c>
      <c r="AG88" s="66">
        <v>0</v>
      </c>
      <c r="AH88" s="66">
        <v>0.1654488612460287</v>
      </c>
      <c r="AI88" s="66">
        <v>68.473119458450427</v>
      </c>
      <c r="AJ88" s="66">
        <v>2.848044534098551</v>
      </c>
      <c r="AK88" s="66">
        <v>1.6517426773763899</v>
      </c>
      <c r="AL88" s="70">
        <v>16.975339492789359</v>
      </c>
      <c r="AM88" s="66">
        <v>9.3077003087065133</v>
      </c>
      <c r="AN88" s="66">
        <v>0</v>
      </c>
      <c r="AO88" s="66">
        <v>7.6676391840828479</v>
      </c>
      <c r="AP88" s="66">
        <v>17.903428620080181</v>
      </c>
      <c r="AQ88" s="71">
        <v>0.71197199733284278</v>
      </c>
      <c r="AR88" s="71">
        <v>76.549132944709982</v>
      </c>
      <c r="AS88" s="111"/>
      <c r="AT88">
        <f t="shared" si="3"/>
        <v>0.89983375527426235</v>
      </c>
      <c r="AU88" t="str">
        <f t="shared" si="2"/>
        <v>Georgia</v>
      </c>
    </row>
    <row r="89" spans="1:47">
      <c r="A89">
        <v>162</v>
      </c>
      <c r="B89" s="72" t="s">
        <v>349</v>
      </c>
      <c r="C89" s="73" t="s">
        <v>68</v>
      </c>
      <c r="D89" s="73">
        <v>2015</v>
      </c>
      <c r="E89" s="59">
        <v>99.219124098743521</v>
      </c>
      <c r="F89" s="60">
        <v>0.78087590125646933</v>
      </c>
      <c r="G89" s="60">
        <v>0</v>
      </c>
      <c r="H89" s="61">
        <v>0</v>
      </c>
      <c r="I89" s="62">
        <v>4.4934274046681821E-4</v>
      </c>
      <c r="J89" s="63">
        <v>0</v>
      </c>
      <c r="K89" s="64">
        <v>98.991935483870975</v>
      </c>
      <c r="L89" s="60">
        <v>1.008064516129032</v>
      </c>
      <c r="M89" s="65">
        <v>0</v>
      </c>
      <c r="N89" s="61">
        <v>0</v>
      </c>
      <c r="O89" s="63">
        <v>0</v>
      </c>
      <c r="P89" s="63">
        <v>0</v>
      </c>
      <c r="Q89" s="74">
        <v>99.293642785065586</v>
      </c>
      <c r="R89" s="66">
        <v>0.70635721493440962</v>
      </c>
      <c r="S89" s="66">
        <v>0</v>
      </c>
      <c r="T89" s="67">
        <v>0</v>
      </c>
      <c r="U89" s="68">
        <v>0</v>
      </c>
      <c r="V89" s="68">
        <v>0</v>
      </c>
      <c r="W89" s="69"/>
      <c r="X89" s="70">
        <v>95.480389868887286</v>
      </c>
      <c r="Y89" s="66">
        <v>1.424421295850383</v>
      </c>
      <c r="Z89" s="66">
        <v>0</v>
      </c>
      <c r="AA89" s="66">
        <v>94.055968573036907</v>
      </c>
      <c r="AB89" s="66">
        <v>0.29153083943095298</v>
      </c>
      <c r="AC89" s="66">
        <v>2.557311752269813</v>
      </c>
      <c r="AD89" s="66">
        <v>96.370281507042776</v>
      </c>
      <c r="AE89" s="70">
        <v>91.568065302839742</v>
      </c>
      <c r="AF89" s="66">
        <v>5.3012139270594494</v>
      </c>
      <c r="AG89" s="66">
        <v>0</v>
      </c>
      <c r="AH89" s="66">
        <v>86.266851375780291</v>
      </c>
      <c r="AI89" s="66">
        <v>0.27222782258065081</v>
      </c>
      <c r="AJ89" s="66">
        <v>10.330200031538251</v>
      </c>
      <c r="AK89" s="66">
        <v>88.389507629752075</v>
      </c>
      <c r="AL89" s="70">
        <v>96.767339004168733</v>
      </c>
      <c r="AM89" s="66">
        <v>0.14894046417760401</v>
      </c>
      <c r="AN89" s="66">
        <v>0</v>
      </c>
      <c r="AO89" s="66">
        <v>96.618398539991134</v>
      </c>
      <c r="AP89" s="66">
        <v>0.29788092835520802</v>
      </c>
      <c r="AQ89" s="71">
        <v>0</v>
      </c>
      <c r="AR89" s="71">
        <v>98.995761856710374</v>
      </c>
      <c r="AS89" s="111"/>
      <c r="AT89">
        <f t="shared" si="3"/>
        <v>2.4014798938163717E-2</v>
      </c>
      <c r="AU89" t="str">
        <f t="shared" si="2"/>
        <v>Germany</v>
      </c>
    </row>
    <row r="90" spans="1:47">
      <c r="A90">
        <v>164</v>
      </c>
      <c r="B90" s="72" t="s">
        <v>350</v>
      </c>
      <c r="C90" s="73" t="s">
        <v>69</v>
      </c>
      <c r="D90" s="73">
        <v>2015</v>
      </c>
      <c r="E90" s="59">
        <v>14.279505931506289</v>
      </c>
      <c r="F90" s="60">
        <v>56.734064788208102</v>
      </c>
      <c r="G90" s="60">
        <v>10.238986396265579</v>
      </c>
      <c r="H90" s="61">
        <v>18.747442884020028</v>
      </c>
      <c r="I90" s="62">
        <v>0.20771056413650513</v>
      </c>
      <c r="J90" s="63">
        <v>-0.2052232027053833</v>
      </c>
      <c r="K90" s="64">
        <v>9.0047263729032441</v>
      </c>
      <c r="L90" s="60">
        <v>45.369979067481999</v>
      </c>
      <c r="M90" s="65">
        <v>14.493342074940131</v>
      </c>
      <c r="N90" s="61">
        <v>31.131952484674631</v>
      </c>
      <c r="O90" s="63">
        <v>0.18588007986545563</v>
      </c>
      <c r="P90" s="63">
        <v>-7.6849736273288727E-2</v>
      </c>
      <c r="Q90" s="74">
        <v>18.76524515200661</v>
      </c>
      <c r="R90" s="66">
        <v>66.398226950103108</v>
      </c>
      <c r="S90" s="66">
        <v>6.6210285434747078</v>
      </c>
      <c r="T90" s="67">
        <v>8.2154993544155701</v>
      </c>
      <c r="U90" s="68">
        <v>8.5775502026081085E-2</v>
      </c>
      <c r="V90" s="68">
        <v>-1.7369072884321213E-2</v>
      </c>
      <c r="W90" s="69"/>
      <c r="X90" s="70">
        <v>0</v>
      </c>
      <c r="Y90" s="66">
        <v>0</v>
      </c>
      <c r="Z90" s="66">
        <v>0</v>
      </c>
      <c r="AA90" s="66">
        <v>0</v>
      </c>
      <c r="AB90" s="66">
        <v>10.67614963573657</v>
      </c>
      <c r="AC90" s="66">
        <v>2.4648333032915448</v>
      </c>
      <c r="AD90" s="66">
        <v>1.1385229924781639</v>
      </c>
      <c r="AE90" s="70">
        <v>0</v>
      </c>
      <c r="AF90" s="66">
        <v>0</v>
      </c>
      <c r="AG90" s="66">
        <v>0</v>
      </c>
      <c r="AH90" s="66">
        <v>0</v>
      </c>
      <c r="AI90" s="66">
        <v>8.6448832868505576</v>
      </c>
      <c r="AJ90" s="66">
        <v>0.2716376370983945</v>
      </c>
      <c r="AK90" s="66">
        <v>8.8205448954291596E-2</v>
      </c>
      <c r="AL90" s="70">
        <v>0</v>
      </c>
      <c r="AM90" s="66">
        <v>0</v>
      </c>
      <c r="AN90" s="66">
        <v>0</v>
      </c>
      <c r="AO90" s="66">
        <v>0</v>
      </c>
      <c r="AP90" s="66">
        <v>11.86598630239901</v>
      </c>
      <c r="AQ90" s="71">
        <v>4.6905130239055017</v>
      </c>
      <c r="AR90" s="71">
        <v>2.2087458257021022</v>
      </c>
      <c r="AS90" s="111"/>
      <c r="AT90">
        <f t="shared" si="3"/>
        <v>1</v>
      </c>
      <c r="AU90" t="str">
        <f t="shared" si="2"/>
        <v>Ghana</v>
      </c>
    </row>
    <row r="91" spans="1:47">
      <c r="A91">
        <v>166</v>
      </c>
      <c r="B91" s="72" t="s">
        <v>351</v>
      </c>
      <c r="C91" s="73" t="s">
        <v>70</v>
      </c>
      <c r="D91" s="73">
        <v>2015</v>
      </c>
      <c r="E91" s="59">
        <v>0</v>
      </c>
      <c r="F91" s="60">
        <v>0</v>
      </c>
      <c r="G91" s="60">
        <v>0</v>
      </c>
      <c r="H91" s="61">
        <v>0</v>
      </c>
      <c r="I91" s="62">
        <v>0</v>
      </c>
      <c r="J91" s="63">
        <v>0</v>
      </c>
      <c r="K91" s="64">
        <v>0</v>
      </c>
      <c r="L91" s="60">
        <v>0</v>
      </c>
      <c r="M91" s="65">
        <v>0</v>
      </c>
      <c r="N91" s="61">
        <v>0</v>
      </c>
      <c r="O91" s="63">
        <v>0</v>
      </c>
      <c r="P91" s="63">
        <v>0</v>
      </c>
      <c r="Q91" s="74">
        <v>0</v>
      </c>
      <c r="R91" s="66">
        <v>0</v>
      </c>
      <c r="S91" s="66">
        <v>0</v>
      </c>
      <c r="T91" s="67">
        <v>0</v>
      </c>
      <c r="U91" s="68">
        <v>0</v>
      </c>
      <c r="V91" s="68">
        <v>0</v>
      </c>
      <c r="W91" s="69"/>
      <c r="X91" s="70">
        <v>0</v>
      </c>
      <c r="Y91" s="66">
        <v>0</v>
      </c>
      <c r="Z91" s="66">
        <v>0</v>
      </c>
      <c r="AA91" s="66">
        <v>0</v>
      </c>
      <c r="AB91" s="66">
        <v>0</v>
      </c>
      <c r="AC91" s="66">
        <v>0</v>
      </c>
      <c r="AD91" s="66">
        <v>0</v>
      </c>
      <c r="AE91" s="70">
        <v>0</v>
      </c>
      <c r="AF91" s="66">
        <v>0</v>
      </c>
      <c r="AG91" s="66">
        <v>0</v>
      </c>
      <c r="AH91" s="66">
        <v>0</v>
      </c>
      <c r="AI91" s="66">
        <v>0</v>
      </c>
      <c r="AJ91" s="66">
        <v>0</v>
      </c>
      <c r="AK91" s="66">
        <v>0</v>
      </c>
      <c r="AL91" s="70">
        <v>0</v>
      </c>
      <c r="AM91" s="66">
        <v>0</v>
      </c>
      <c r="AN91" s="66">
        <v>0</v>
      </c>
      <c r="AO91" s="66">
        <v>0</v>
      </c>
      <c r="AP91" s="66">
        <v>0</v>
      </c>
      <c r="AQ91" s="71">
        <v>0</v>
      </c>
      <c r="AR91" s="71">
        <v>0</v>
      </c>
      <c r="AS91" s="111"/>
      <c r="AT91" t="e">
        <f t="shared" si="3"/>
        <v>#DIV/0!</v>
      </c>
      <c r="AU91" t="str">
        <f t="shared" si="2"/>
        <v>Gibraltar</v>
      </c>
    </row>
    <row r="92" spans="1:47">
      <c r="A92">
        <v>168</v>
      </c>
      <c r="B92" s="72" t="s">
        <v>352</v>
      </c>
      <c r="C92" s="73" t="s">
        <v>71</v>
      </c>
      <c r="D92" s="73">
        <v>2015</v>
      </c>
      <c r="E92" s="59">
        <v>98.963963960247966</v>
      </c>
      <c r="F92" s="60">
        <v>1.024226784719293</v>
      </c>
      <c r="G92" s="60">
        <v>1.1809255032730399E-2</v>
      </c>
      <c r="H92" s="61">
        <v>0</v>
      </c>
      <c r="I92" s="62">
        <v>0.16066394746303558</v>
      </c>
      <c r="J92" s="63">
        <v>-7.4876561760902405E-2</v>
      </c>
      <c r="K92" s="64">
        <v>98.092013119773043</v>
      </c>
      <c r="L92" s="60">
        <v>1.854291363322742</v>
      </c>
      <c r="M92" s="65">
        <v>5.3695516904213002E-2</v>
      </c>
      <c r="N92" s="61">
        <v>0</v>
      </c>
      <c r="O92" s="63">
        <v>0.37654340267181396</v>
      </c>
      <c r="P92" s="63">
        <v>-0.20765736699104309</v>
      </c>
      <c r="Q92" s="74">
        <v>99.209798498617147</v>
      </c>
      <c r="R92" s="66">
        <v>0.79020150138285272</v>
      </c>
      <c r="S92" s="66">
        <v>0</v>
      </c>
      <c r="T92" s="67">
        <v>0</v>
      </c>
      <c r="U92" s="68">
        <v>7.4240937829017639E-2</v>
      </c>
      <c r="V92" s="68">
        <v>-2.5055462494492531E-2</v>
      </c>
      <c r="W92" s="69"/>
      <c r="X92" s="70">
        <v>75.247142670812835</v>
      </c>
      <c r="Y92" s="66">
        <v>23.716821289435138</v>
      </c>
      <c r="Z92" s="66">
        <v>0</v>
      </c>
      <c r="AA92" s="66">
        <v>51.530321381377703</v>
      </c>
      <c r="AB92" s="66">
        <v>47.433642578870277</v>
      </c>
      <c r="AC92" s="66">
        <v>0</v>
      </c>
      <c r="AD92" s="66">
        <v>51.530321381377703</v>
      </c>
      <c r="AE92" s="70">
        <v>0</v>
      </c>
      <c r="AF92" s="66">
        <v>0</v>
      </c>
      <c r="AG92" s="66">
        <v>0</v>
      </c>
      <c r="AH92" s="66">
        <v>11.807936200260301</v>
      </c>
      <c r="AI92" s="66">
        <v>86.284076919512742</v>
      </c>
      <c r="AJ92" s="66">
        <v>0</v>
      </c>
      <c r="AK92" s="66">
        <v>11.807936200260301</v>
      </c>
      <c r="AL92" s="70">
        <v>81.029723131054425</v>
      </c>
      <c r="AM92" s="66">
        <v>18.180075367562729</v>
      </c>
      <c r="AN92" s="66">
        <v>0</v>
      </c>
      <c r="AO92" s="66">
        <v>62.849647763491703</v>
      </c>
      <c r="AP92" s="66">
        <v>36.360150735125458</v>
      </c>
      <c r="AQ92" s="71">
        <v>0</v>
      </c>
      <c r="AR92" s="71">
        <v>62.849647763491703</v>
      </c>
      <c r="AS92" s="111"/>
      <c r="AT92">
        <f t="shared" si="3"/>
        <v>0</v>
      </c>
      <c r="AU92" t="str">
        <f t="shared" si="2"/>
        <v>Greece</v>
      </c>
    </row>
    <row r="93" spans="1:47">
      <c r="A93">
        <v>170</v>
      </c>
      <c r="B93" s="72" t="s">
        <v>353</v>
      </c>
      <c r="C93" s="73" t="s">
        <v>72</v>
      </c>
      <c r="D93" s="73">
        <v>2015</v>
      </c>
      <c r="E93" s="59">
        <v>99.336840174751771</v>
      </c>
      <c r="F93" s="60">
        <v>0.40171162308219521</v>
      </c>
      <c r="G93" s="60">
        <v>0.2614482021660649</v>
      </c>
      <c r="H93" s="61">
        <v>0</v>
      </c>
      <c r="I93" s="62">
        <v>-1.7360975965857506E-2</v>
      </c>
      <c r="J93" s="63">
        <v>0</v>
      </c>
      <c r="K93" s="64">
        <v>99.564685949632789</v>
      </c>
      <c r="L93" s="60">
        <v>0.4022815593924558</v>
      </c>
      <c r="M93" s="65">
        <v>3.3032490974747503E-2</v>
      </c>
      <c r="N93" s="61">
        <v>0</v>
      </c>
      <c r="O93" s="63">
        <v>-2.1933042444288731E-3</v>
      </c>
      <c r="P93" s="63">
        <v>0</v>
      </c>
      <c r="Q93" s="74">
        <v>99.301085395603181</v>
      </c>
      <c r="R93" s="66">
        <v>0.40162218562427981</v>
      </c>
      <c r="S93" s="66">
        <v>0.29729241877254248</v>
      </c>
      <c r="T93" s="67">
        <v>0</v>
      </c>
      <c r="U93" s="68">
        <v>-1.9739657640457153E-2</v>
      </c>
      <c r="V93" s="68">
        <v>0</v>
      </c>
      <c r="W93" s="69"/>
      <c r="X93" s="70">
        <v>93.074976628070019</v>
      </c>
      <c r="Y93" s="66">
        <v>4.6305502593939831</v>
      </c>
      <c r="Z93" s="66">
        <v>0</v>
      </c>
      <c r="AA93" s="66">
        <v>88.444426368676034</v>
      </c>
      <c r="AB93" s="66">
        <v>0</v>
      </c>
      <c r="AC93" s="66">
        <v>9.2611005187879663</v>
      </c>
      <c r="AD93" s="66">
        <v>90.075739655963773</v>
      </c>
      <c r="AE93" s="70">
        <v>0</v>
      </c>
      <c r="AF93" s="66">
        <v>0</v>
      </c>
      <c r="AG93" s="66">
        <v>0</v>
      </c>
      <c r="AH93" s="66">
        <v>0</v>
      </c>
      <c r="AI93" s="66">
        <v>0</v>
      </c>
      <c r="AJ93" s="66">
        <v>0</v>
      </c>
      <c r="AK93" s="66">
        <v>0</v>
      </c>
      <c r="AL93" s="70">
        <v>0</v>
      </c>
      <c r="AM93" s="66">
        <v>0</v>
      </c>
      <c r="AN93" s="66">
        <v>0</v>
      </c>
      <c r="AO93" s="66">
        <v>0</v>
      </c>
      <c r="AP93" s="66">
        <v>0</v>
      </c>
      <c r="AQ93" s="71">
        <v>0</v>
      </c>
      <c r="AR93" s="71">
        <v>0</v>
      </c>
      <c r="AS93" s="111"/>
      <c r="AT93">
        <f t="shared" si="3"/>
        <v>1.8110462301152274E-2</v>
      </c>
      <c r="AU93" t="str">
        <f t="shared" si="2"/>
        <v>Greenland</v>
      </c>
    </row>
    <row r="94" spans="1:47">
      <c r="A94">
        <v>172</v>
      </c>
      <c r="B94" s="72" t="s">
        <v>354</v>
      </c>
      <c r="C94" s="73" t="s">
        <v>73</v>
      </c>
      <c r="D94" s="73">
        <v>2015</v>
      </c>
      <c r="E94" s="59">
        <v>78.302256469112194</v>
      </c>
      <c r="F94" s="60">
        <v>4.7922640788330133</v>
      </c>
      <c r="G94" s="60">
        <v>13.36438356164388</v>
      </c>
      <c r="H94" s="61">
        <v>3.5410958904109289</v>
      </c>
      <c r="I94" s="62">
        <v>-1.0620332956314087</v>
      </c>
      <c r="J94" s="63">
        <v>0.23607306182384491</v>
      </c>
      <c r="K94" s="64">
        <v>0</v>
      </c>
      <c r="L94" s="60">
        <v>0</v>
      </c>
      <c r="M94" s="65">
        <v>0</v>
      </c>
      <c r="N94" s="61">
        <v>0</v>
      </c>
      <c r="O94" s="63">
        <v>0</v>
      </c>
      <c r="P94" s="63">
        <v>0</v>
      </c>
      <c r="Q94" s="74">
        <v>0</v>
      </c>
      <c r="R94" s="66">
        <v>0</v>
      </c>
      <c r="S94" s="66">
        <v>0</v>
      </c>
      <c r="T94" s="67">
        <v>0</v>
      </c>
      <c r="U94" s="68">
        <v>0</v>
      </c>
      <c r="V94" s="68">
        <v>0</v>
      </c>
      <c r="W94" s="69"/>
      <c r="X94" s="70">
        <v>0</v>
      </c>
      <c r="Y94" s="66">
        <v>0</v>
      </c>
      <c r="Z94" s="66">
        <v>0</v>
      </c>
      <c r="AA94" s="66">
        <v>0</v>
      </c>
      <c r="AB94" s="66">
        <v>16.57334724949202</v>
      </c>
      <c r="AC94" s="66">
        <v>55.353353330124037</v>
      </c>
      <c r="AD94" s="66">
        <v>6.375555889496118</v>
      </c>
      <c r="AE94" s="70">
        <v>0</v>
      </c>
      <c r="AF94" s="66">
        <v>0</v>
      </c>
      <c r="AG94" s="66">
        <v>0</v>
      </c>
      <c r="AH94" s="66">
        <v>0</v>
      </c>
      <c r="AI94" s="66">
        <v>0</v>
      </c>
      <c r="AJ94" s="66">
        <v>0</v>
      </c>
      <c r="AK94" s="66">
        <v>0</v>
      </c>
      <c r="AL94" s="70">
        <v>0</v>
      </c>
      <c r="AM94" s="66">
        <v>0</v>
      </c>
      <c r="AN94" s="66">
        <v>0</v>
      </c>
      <c r="AO94" s="66">
        <v>0</v>
      </c>
      <c r="AP94" s="66">
        <v>0</v>
      </c>
      <c r="AQ94" s="71">
        <v>0</v>
      </c>
      <c r="AR94" s="71">
        <v>0</v>
      </c>
      <c r="AS94" s="111"/>
      <c r="AT94">
        <f t="shared" si="3"/>
        <v>1</v>
      </c>
      <c r="AU94" t="str">
        <f t="shared" si="2"/>
        <v>Grenada</v>
      </c>
    </row>
    <row r="95" spans="1:47">
      <c r="A95">
        <v>174</v>
      </c>
      <c r="B95" s="72" t="s">
        <v>355</v>
      </c>
      <c r="C95" s="73" t="s">
        <v>74</v>
      </c>
      <c r="D95" s="73">
        <v>2015</v>
      </c>
      <c r="E95" s="59">
        <v>98.786746681687902</v>
      </c>
      <c r="F95" s="60">
        <v>0</v>
      </c>
      <c r="G95" s="60">
        <v>1.2132533183120979</v>
      </c>
      <c r="H95" s="61">
        <v>0</v>
      </c>
      <c r="I95" s="62">
        <v>0</v>
      </c>
      <c r="J95" s="63">
        <v>0</v>
      </c>
      <c r="K95" s="64">
        <v>0</v>
      </c>
      <c r="L95" s="60">
        <v>0</v>
      </c>
      <c r="M95" s="65">
        <v>0</v>
      </c>
      <c r="N95" s="61">
        <v>0</v>
      </c>
      <c r="O95" s="63">
        <v>0</v>
      </c>
      <c r="P95" s="63">
        <v>0</v>
      </c>
      <c r="Q95" s="74">
        <v>0</v>
      </c>
      <c r="R95" s="66">
        <v>0</v>
      </c>
      <c r="S95" s="66">
        <v>0</v>
      </c>
      <c r="T95" s="67">
        <v>0</v>
      </c>
      <c r="U95" s="68">
        <v>0</v>
      </c>
      <c r="V95" s="68">
        <v>0</v>
      </c>
      <c r="W95" s="69"/>
      <c r="X95" s="70">
        <v>0</v>
      </c>
      <c r="Y95" s="66">
        <v>0</v>
      </c>
      <c r="Z95" s="66">
        <v>0</v>
      </c>
      <c r="AA95" s="66">
        <v>15.906735831903189</v>
      </c>
      <c r="AB95" s="66">
        <v>12.24899068546395</v>
      </c>
      <c r="AC95" s="66">
        <v>46.77091641646598</v>
      </c>
      <c r="AD95" s="66">
        <v>39.766839579757971</v>
      </c>
      <c r="AE95" s="70">
        <v>0</v>
      </c>
      <c r="AF95" s="66">
        <v>0</v>
      </c>
      <c r="AG95" s="66">
        <v>0</v>
      </c>
      <c r="AH95" s="66">
        <v>0</v>
      </c>
      <c r="AI95" s="66">
        <v>0</v>
      </c>
      <c r="AJ95" s="66">
        <v>0</v>
      </c>
      <c r="AK95" s="66">
        <v>0</v>
      </c>
      <c r="AL95" s="70">
        <v>0</v>
      </c>
      <c r="AM95" s="66">
        <v>0</v>
      </c>
      <c r="AN95" s="66">
        <v>0</v>
      </c>
      <c r="AO95" s="66">
        <v>0</v>
      </c>
      <c r="AP95" s="66">
        <v>0</v>
      </c>
      <c r="AQ95" s="71">
        <v>0</v>
      </c>
      <c r="AR95" s="71">
        <v>0</v>
      </c>
      <c r="AS95" s="111"/>
      <c r="AT95">
        <f t="shared" si="3"/>
        <v>0.6</v>
      </c>
      <c r="AU95" t="str">
        <f t="shared" si="2"/>
        <v>Guadeloupe</v>
      </c>
    </row>
    <row r="96" spans="1:47">
      <c r="A96">
        <v>176</v>
      </c>
      <c r="B96" s="72" t="s">
        <v>356</v>
      </c>
      <c r="C96" s="73" t="s">
        <v>75</v>
      </c>
      <c r="D96" s="73">
        <v>2015</v>
      </c>
      <c r="E96" s="59">
        <v>90.350765512010085</v>
      </c>
      <c r="F96" s="60">
        <v>8.8192344879898812</v>
      </c>
      <c r="G96" s="60">
        <v>9.6800000000044406E-2</v>
      </c>
      <c r="H96" s="61">
        <v>0.73319999999999652</v>
      </c>
      <c r="I96" s="62">
        <v>0.10750620812177658</v>
      </c>
      <c r="J96" s="63">
        <v>4.8879999667406082E-2</v>
      </c>
      <c r="K96" s="64">
        <v>0</v>
      </c>
      <c r="L96" s="60">
        <v>0</v>
      </c>
      <c r="M96" s="65">
        <v>0</v>
      </c>
      <c r="N96" s="61">
        <v>0</v>
      </c>
      <c r="O96" s="63">
        <v>0</v>
      </c>
      <c r="P96" s="63">
        <v>0</v>
      </c>
      <c r="Q96" s="74">
        <v>0</v>
      </c>
      <c r="R96" s="66">
        <v>0</v>
      </c>
      <c r="S96" s="66">
        <v>0</v>
      </c>
      <c r="T96" s="67">
        <v>0</v>
      </c>
      <c r="U96" s="68">
        <v>0</v>
      </c>
      <c r="V96" s="68">
        <v>0</v>
      </c>
      <c r="W96" s="69"/>
      <c r="X96" s="70">
        <v>0</v>
      </c>
      <c r="Y96" s="66">
        <v>0</v>
      </c>
      <c r="Z96" s="66">
        <v>0</v>
      </c>
      <c r="AA96" s="66">
        <v>0</v>
      </c>
      <c r="AB96" s="66">
        <v>0.95662300884950002</v>
      </c>
      <c r="AC96" s="66">
        <v>23.25049446270544</v>
      </c>
      <c r="AD96" s="66">
        <v>66.143648040455147</v>
      </c>
      <c r="AE96" s="70">
        <v>0</v>
      </c>
      <c r="AF96" s="66">
        <v>0</v>
      </c>
      <c r="AG96" s="66">
        <v>0</v>
      </c>
      <c r="AH96" s="66">
        <v>0</v>
      </c>
      <c r="AI96" s="66">
        <v>0</v>
      </c>
      <c r="AJ96" s="66">
        <v>0</v>
      </c>
      <c r="AK96" s="66">
        <v>0</v>
      </c>
      <c r="AL96" s="70">
        <v>0</v>
      </c>
      <c r="AM96" s="66">
        <v>0</v>
      </c>
      <c r="AN96" s="66">
        <v>0</v>
      </c>
      <c r="AO96" s="66">
        <v>0</v>
      </c>
      <c r="AP96" s="66">
        <v>0</v>
      </c>
      <c r="AQ96" s="71">
        <v>0</v>
      </c>
      <c r="AR96" s="71">
        <v>0</v>
      </c>
      <c r="AS96" s="111"/>
      <c r="AT96">
        <f t="shared" si="3"/>
        <v>1</v>
      </c>
      <c r="AU96" t="str">
        <f t="shared" si="2"/>
        <v>Guam</v>
      </c>
    </row>
    <row r="97" spans="1:47">
      <c r="A97">
        <v>178</v>
      </c>
      <c r="B97" s="72" t="s">
        <v>357</v>
      </c>
      <c r="C97" s="73" t="s">
        <v>76</v>
      </c>
      <c r="D97" s="73">
        <v>2015</v>
      </c>
      <c r="E97" s="59">
        <v>67.362920351391665</v>
      </c>
      <c r="F97" s="60">
        <v>8.7553516997042582</v>
      </c>
      <c r="G97" s="60">
        <v>18.286237402175342</v>
      </c>
      <c r="H97" s="61">
        <v>5.5954905467287457</v>
      </c>
      <c r="I97" s="62">
        <v>0.54376363754272461</v>
      </c>
      <c r="J97" s="63">
        <v>-0.56692004203796387</v>
      </c>
      <c r="K97" s="64">
        <v>53.135666942053589</v>
      </c>
      <c r="L97" s="60">
        <v>7.0229970553086929</v>
      </c>
      <c r="M97" s="65">
        <v>29.726671133110131</v>
      </c>
      <c r="N97" s="61">
        <v>10.114664869527591</v>
      </c>
      <c r="O97" s="63">
        <v>0.66888570785522461</v>
      </c>
      <c r="P97" s="63">
        <v>-0.82221657037734985</v>
      </c>
      <c r="Q97" s="74">
        <v>80.723368187594829</v>
      </c>
      <c r="R97" s="66">
        <v>10.382161400377759</v>
      </c>
      <c r="S97" s="66">
        <v>7.5428202655008363</v>
      </c>
      <c r="T97" s="67">
        <v>1.3516501465265951</v>
      </c>
      <c r="U97" s="68">
        <v>0.1289898157119751</v>
      </c>
      <c r="V97" s="68">
        <v>-0.1730654239654541</v>
      </c>
      <c r="W97" s="69"/>
      <c r="X97" s="70">
        <v>0</v>
      </c>
      <c r="Y97" s="66">
        <v>0</v>
      </c>
      <c r="Z97" s="66">
        <v>0</v>
      </c>
      <c r="AA97" s="66">
        <v>0</v>
      </c>
      <c r="AB97" s="66">
        <v>20.171487823412569</v>
      </c>
      <c r="AC97" s="66">
        <v>9.8457153888404054</v>
      </c>
      <c r="AD97" s="66">
        <v>37.345717139138678</v>
      </c>
      <c r="AE97" s="70">
        <v>0</v>
      </c>
      <c r="AF97" s="66">
        <v>0</v>
      </c>
      <c r="AG97" s="66">
        <v>0</v>
      </c>
      <c r="AH97" s="66">
        <v>0</v>
      </c>
      <c r="AI97" s="66">
        <v>31.466064833254698</v>
      </c>
      <c r="AJ97" s="66">
        <v>12.561806186380471</v>
      </c>
      <c r="AK97" s="66">
        <v>9.1077959224184308</v>
      </c>
      <c r="AL97" s="70">
        <v>0</v>
      </c>
      <c r="AM97" s="66">
        <v>0</v>
      </c>
      <c r="AN97" s="66">
        <v>0</v>
      </c>
      <c r="AO97" s="66">
        <v>0</v>
      </c>
      <c r="AP97" s="66">
        <v>9.5190045593743537</v>
      </c>
      <c r="AQ97" s="71">
        <v>7.2809114115476534</v>
      </c>
      <c r="AR97" s="71">
        <v>63.923452216672821</v>
      </c>
      <c r="AS97" s="111"/>
      <c r="AT97">
        <f t="shared" si="3"/>
        <v>1</v>
      </c>
      <c r="AU97" t="str">
        <f t="shared" si="2"/>
        <v>Guatemala</v>
      </c>
    </row>
    <row r="98" spans="1:47">
      <c r="A98">
        <v>180</v>
      </c>
      <c r="B98" s="72" t="s">
        <v>358</v>
      </c>
      <c r="C98" s="73" t="s">
        <v>77</v>
      </c>
      <c r="D98" s="73">
        <v>2015</v>
      </c>
      <c r="E98" s="59">
        <v>21.952272030829569</v>
      </c>
      <c r="F98" s="60">
        <v>28.18259459373721</v>
      </c>
      <c r="G98" s="60">
        <v>34.505062306687087</v>
      </c>
      <c r="H98" s="61">
        <v>15.36007106874613</v>
      </c>
      <c r="I98" s="62">
        <v>0.8564789891242981</v>
      </c>
      <c r="J98" s="63">
        <v>-0.80893427133560181</v>
      </c>
      <c r="K98" s="64">
        <v>14.668016141360241</v>
      </c>
      <c r="L98" s="60">
        <v>16.80477076343174</v>
      </c>
      <c r="M98" s="65">
        <v>44.812082933693553</v>
      </c>
      <c r="N98" s="61">
        <v>23.71513016151448</v>
      </c>
      <c r="O98" s="63">
        <v>0.76515597105026245</v>
      </c>
      <c r="P98" s="63">
        <v>-1.0234203338623047</v>
      </c>
      <c r="Q98" s="74">
        <v>34.269899539194881</v>
      </c>
      <c r="R98" s="66">
        <v>47.422417840489601</v>
      </c>
      <c r="S98" s="66">
        <v>17.07596004408764</v>
      </c>
      <c r="T98" s="67">
        <v>1.2317225762278809</v>
      </c>
      <c r="U98" s="68">
        <v>0.80072903633117676</v>
      </c>
      <c r="V98" s="68">
        <v>-3.5000946372747421E-2</v>
      </c>
      <c r="W98" s="69"/>
      <c r="X98" s="70">
        <v>0</v>
      </c>
      <c r="Y98" s="66">
        <v>0</v>
      </c>
      <c r="Z98" s="66">
        <v>0</v>
      </c>
      <c r="AA98" s="66">
        <v>0</v>
      </c>
      <c r="AB98" s="66">
        <v>16.680333944538042</v>
      </c>
      <c r="AC98" s="66">
        <v>4.4417980786112263</v>
      </c>
      <c r="AD98" s="66">
        <v>0.83014000768030016</v>
      </c>
      <c r="AE98" s="70">
        <v>0</v>
      </c>
      <c r="AF98" s="66">
        <v>0</v>
      </c>
      <c r="AG98" s="66">
        <v>0</v>
      </c>
      <c r="AH98" s="66">
        <v>0</v>
      </c>
      <c r="AI98" s="66">
        <v>13.53401883670408</v>
      </c>
      <c r="AJ98" s="66">
        <v>0.95558156562153995</v>
      </c>
      <c r="AK98" s="66">
        <v>0.17841573903461569</v>
      </c>
      <c r="AL98" s="70">
        <v>0</v>
      </c>
      <c r="AM98" s="66">
        <v>0</v>
      </c>
      <c r="AN98" s="66">
        <v>0</v>
      </c>
      <c r="AO98" s="66">
        <v>0</v>
      </c>
      <c r="AP98" s="66">
        <v>22.404198046942799</v>
      </c>
      <c r="AQ98" s="71">
        <v>9.9970565487239327</v>
      </c>
      <c r="AR98" s="71">
        <v>1.868644943528152</v>
      </c>
      <c r="AS98" s="111"/>
      <c r="AT98">
        <f t="shared" si="3"/>
        <v>1</v>
      </c>
      <c r="AU98" t="str">
        <f t="shared" si="2"/>
        <v>Guinea</v>
      </c>
    </row>
    <row r="99" spans="1:47">
      <c r="A99">
        <v>182</v>
      </c>
      <c r="B99" s="72" t="s">
        <v>359</v>
      </c>
      <c r="C99" s="73" t="s">
        <v>78</v>
      </c>
      <c r="D99" s="73">
        <v>2015</v>
      </c>
      <c r="E99" s="59">
        <v>21.466003749665749</v>
      </c>
      <c r="F99" s="60">
        <v>17.371785595507639</v>
      </c>
      <c r="G99" s="60">
        <v>45.098762641908998</v>
      </c>
      <c r="H99" s="61">
        <v>16.063448012917618</v>
      </c>
      <c r="I99" s="62">
        <v>0.63327521085739136</v>
      </c>
      <c r="J99" s="63">
        <v>-1.3260083198547363</v>
      </c>
      <c r="K99" s="64">
        <v>8.4229702541197398</v>
      </c>
      <c r="L99" s="60">
        <v>4.5587017300412986</v>
      </c>
      <c r="M99" s="65">
        <v>57.078639555382779</v>
      </c>
      <c r="N99" s="61">
        <v>29.939688460456178</v>
      </c>
      <c r="O99" s="63">
        <v>0.29258355498313904</v>
      </c>
      <c r="P99" s="63">
        <v>-1.6441280841827393</v>
      </c>
      <c r="Q99" s="74">
        <v>34.862266239577473</v>
      </c>
      <c r="R99" s="66">
        <v>30.5318710024534</v>
      </c>
      <c r="S99" s="66">
        <v>32.794448941838262</v>
      </c>
      <c r="T99" s="67">
        <v>1.8114138161308799</v>
      </c>
      <c r="U99" s="68">
        <v>0.6124032735824585</v>
      </c>
      <c r="V99" s="68">
        <v>-0.12762236595153809</v>
      </c>
      <c r="W99" s="69"/>
      <c r="X99" s="70">
        <v>0</v>
      </c>
      <c r="Y99" s="66">
        <v>0</v>
      </c>
      <c r="Z99" s="66">
        <v>0</v>
      </c>
      <c r="AA99" s="66">
        <v>0</v>
      </c>
      <c r="AB99" s="66">
        <v>11.09292109707042</v>
      </c>
      <c r="AC99" s="66">
        <v>8.4283784558022727</v>
      </c>
      <c r="AD99" s="66">
        <v>1.944704196793047</v>
      </c>
      <c r="AE99" s="70">
        <v>0</v>
      </c>
      <c r="AF99" s="66">
        <v>0</v>
      </c>
      <c r="AG99" s="66">
        <v>0</v>
      </c>
      <c r="AH99" s="66">
        <v>0</v>
      </c>
      <c r="AI99" s="66">
        <v>6.8807039736497204</v>
      </c>
      <c r="AJ99" s="66">
        <v>0.95574280982627324</v>
      </c>
      <c r="AK99" s="66">
        <v>0.58652347064374544</v>
      </c>
      <c r="AL99" s="70">
        <v>0</v>
      </c>
      <c r="AM99" s="66">
        <v>0</v>
      </c>
      <c r="AN99" s="66">
        <v>0</v>
      </c>
      <c r="AO99" s="66">
        <v>0</v>
      </c>
      <c r="AP99" s="66">
        <v>15.882313326268109</v>
      </c>
      <c r="AQ99" s="71">
        <v>15.672628447053331</v>
      </c>
      <c r="AR99" s="71">
        <v>3.3073244662560271</v>
      </c>
      <c r="AS99" s="111"/>
      <c r="AT99">
        <f t="shared" si="3"/>
        <v>1</v>
      </c>
      <c r="AU99" t="str">
        <f t="shared" si="2"/>
        <v>Guinea-Bissau</v>
      </c>
    </row>
    <row r="100" spans="1:47">
      <c r="A100">
        <v>184</v>
      </c>
      <c r="B100" s="72" t="s">
        <v>360</v>
      </c>
      <c r="C100" s="73" t="s">
        <v>79</v>
      </c>
      <c r="D100" s="73">
        <v>2015</v>
      </c>
      <c r="E100" s="59">
        <v>86.164053044024982</v>
      </c>
      <c r="F100" s="60">
        <v>9.3191938970476986</v>
      </c>
      <c r="G100" s="60">
        <v>3.8896857024846971</v>
      </c>
      <c r="H100" s="61">
        <v>0.62706735644262468</v>
      </c>
      <c r="I100" s="62">
        <v>0.52033120393753052</v>
      </c>
      <c r="J100" s="63">
        <v>-4.5389540493488312E-2</v>
      </c>
      <c r="K100" s="64">
        <v>84.961661182875389</v>
      </c>
      <c r="L100" s="60">
        <v>9.7090759778649911</v>
      </c>
      <c r="M100" s="65">
        <v>4.451594978548016</v>
      </c>
      <c r="N100" s="61">
        <v>0.87766786071161107</v>
      </c>
      <c r="O100" s="63">
        <v>0.64374744892120361</v>
      </c>
      <c r="P100" s="63">
        <v>-4.4304784387350082E-2</v>
      </c>
      <c r="Q100" s="74">
        <v>89.172748848443291</v>
      </c>
      <c r="R100" s="66">
        <v>8.3436079681381994</v>
      </c>
      <c r="S100" s="66">
        <v>2.4836431834185082</v>
      </c>
      <c r="T100" s="67">
        <v>0</v>
      </c>
      <c r="U100" s="68">
        <v>0.21501527726650238</v>
      </c>
      <c r="V100" s="68">
        <v>-4.837273433804512E-2</v>
      </c>
      <c r="W100" s="69"/>
      <c r="X100" s="70">
        <v>0</v>
      </c>
      <c r="Y100" s="66">
        <v>0</v>
      </c>
      <c r="Z100" s="66">
        <v>0</v>
      </c>
      <c r="AA100" s="66">
        <v>1.0975098654288971</v>
      </c>
      <c r="AB100" s="66">
        <v>25.650410686000651</v>
      </c>
      <c r="AC100" s="66">
        <v>58.31862262716654</v>
      </c>
      <c r="AD100" s="66">
        <v>2.1950197308577941</v>
      </c>
      <c r="AE100" s="70">
        <v>0</v>
      </c>
      <c r="AF100" s="66">
        <v>0</v>
      </c>
      <c r="AG100" s="66">
        <v>0</v>
      </c>
      <c r="AH100" s="66">
        <v>4.80428368316645E-2</v>
      </c>
      <c r="AI100" s="66">
        <v>32.039206565879923</v>
      </c>
      <c r="AJ100" s="66">
        <v>52.826368943332142</v>
      </c>
      <c r="AK100" s="66">
        <v>9.6085673663328902E-2</v>
      </c>
      <c r="AL100" s="70">
        <v>0</v>
      </c>
      <c r="AM100" s="66">
        <v>0</v>
      </c>
      <c r="AN100" s="66">
        <v>0</v>
      </c>
      <c r="AO100" s="66">
        <v>3.7725524132921722</v>
      </c>
      <c r="AP100" s="66">
        <v>9.3442882077954543</v>
      </c>
      <c r="AQ100" s="71">
        <v>72.283355814063484</v>
      </c>
      <c r="AR100" s="71">
        <v>7.5451048265843426</v>
      </c>
      <c r="AS100" s="111"/>
      <c r="AT100">
        <f t="shared" si="3"/>
        <v>0.5</v>
      </c>
      <c r="AU100" t="str">
        <f t="shared" si="2"/>
        <v>Guyana</v>
      </c>
    </row>
    <row r="101" spans="1:47">
      <c r="A101">
        <v>186</v>
      </c>
      <c r="B101" s="72" t="s">
        <v>361</v>
      </c>
      <c r="C101" s="73" t="s">
        <v>80</v>
      </c>
      <c r="D101" s="73">
        <v>2015</v>
      </c>
      <c r="E101" s="59">
        <v>30.543790736874548</v>
      </c>
      <c r="F101" s="60">
        <v>30.71006886123617</v>
      </c>
      <c r="G101" s="60">
        <v>19.717901269147259</v>
      </c>
      <c r="H101" s="61">
        <v>19.028239132742009</v>
      </c>
      <c r="I101" s="62">
        <v>0.92043232917785645</v>
      </c>
      <c r="J101" s="63">
        <v>-1.2496893405914307</v>
      </c>
      <c r="K101" s="64">
        <v>21.81243544576267</v>
      </c>
      <c r="L101" s="60">
        <v>15.24065467037196</v>
      </c>
      <c r="M101" s="65">
        <v>28.056118712188429</v>
      </c>
      <c r="N101" s="61">
        <v>34.890791171676938</v>
      </c>
      <c r="O101" s="63">
        <v>0.7739371657371521</v>
      </c>
      <c r="P101" s="63">
        <v>-1.1918152570724487</v>
      </c>
      <c r="Q101" s="74">
        <v>36.700926009513843</v>
      </c>
      <c r="R101" s="66">
        <v>41.618716211618803</v>
      </c>
      <c r="S101" s="66">
        <v>13.83799705980346</v>
      </c>
      <c r="T101" s="67">
        <v>7.8423607190638904</v>
      </c>
      <c r="U101" s="68">
        <v>0.54292112588882446</v>
      </c>
      <c r="V101" s="68">
        <v>-0.18709620833396912</v>
      </c>
      <c r="W101" s="69"/>
      <c r="X101" s="70">
        <v>0</v>
      </c>
      <c r="Y101" s="66">
        <v>0</v>
      </c>
      <c r="Z101" s="66">
        <v>0</v>
      </c>
      <c r="AA101" s="66">
        <v>0</v>
      </c>
      <c r="AB101" s="66">
        <v>24.426328482737379</v>
      </c>
      <c r="AC101" s="66">
        <v>5.5619574352003136</v>
      </c>
      <c r="AD101" s="66">
        <v>0.55550481893683912</v>
      </c>
      <c r="AE101" s="70">
        <v>0</v>
      </c>
      <c r="AF101" s="66">
        <v>0</v>
      </c>
      <c r="AG101" s="66">
        <v>0</v>
      </c>
      <c r="AH101" s="66">
        <v>0</v>
      </c>
      <c r="AI101" s="66">
        <v>20.58226645982521</v>
      </c>
      <c r="AJ101" s="66">
        <v>1.0454788914761839</v>
      </c>
      <c r="AK101" s="66">
        <v>0.18469009446127599</v>
      </c>
      <c r="AL101" s="70">
        <v>0</v>
      </c>
      <c r="AM101" s="66">
        <v>0</v>
      </c>
      <c r="AN101" s="66">
        <v>0</v>
      </c>
      <c r="AO101" s="66">
        <v>0</v>
      </c>
      <c r="AP101" s="66">
        <v>27.58850695717803</v>
      </c>
      <c r="AQ101" s="71">
        <v>8.3259209177648099</v>
      </c>
      <c r="AR101" s="71">
        <v>0.78649813457100726</v>
      </c>
      <c r="AS101" s="111"/>
      <c r="AT101">
        <f t="shared" si="3"/>
        <v>1</v>
      </c>
      <c r="AU101" t="str">
        <f t="shared" si="2"/>
        <v>Haiti</v>
      </c>
    </row>
    <row r="102" spans="1:47">
      <c r="A102">
        <v>188</v>
      </c>
      <c r="B102" s="72" t="s">
        <v>362</v>
      </c>
      <c r="C102" s="73" t="s">
        <v>81</v>
      </c>
      <c r="D102" s="73">
        <v>2015</v>
      </c>
      <c r="E102" s="59">
        <v>0</v>
      </c>
      <c r="F102" s="60">
        <v>0</v>
      </c>
      <c r="G102" s="60">
        <v>0</v>
      </c>
      <c r="H102" s="61">
        <v>0</v>
      </c>
      <c r="I102" s="62">
        <v>0</v>
      </c>
      <c r="J102" s="63">
        <v>0</v>
      </c>
      <c r="K102" s="64">
        <v>0</v>
      </c>
      <c r="L102" s="60">
        <v>0</v>
      </c>
      <c r="M102" s="65">
        <v>0</v>
      </c>
      <c r="N102" s="61">
        <v>0</v>
      </c>
      <c r="O102" s="63">
        <v>0</v>
      </c>
      <c r="P102" s="63">
        <v>0</v>
      </c>
      <c r="Q102" s="74">
        <v>0</v>
      </c>
      <c r="R102" s="66">
        <v>0</v>
      </c>
      <c r="S102" s="66">
        <v>0</v>
      </c>
      <c r="T102" s="67">
        <v>0</v>
      </c>
      <c r="U102" s="68">
        <v>0</v>
      </c>
      <c r="V102" s="68">
        <v>0</v>
      </c>
      <c r="W102" s="69"/>
      <c r="X102" s="70">
        <v>0</v>
      </c>
      <c r="Y102" s="66">
        <v>0</v>
      </c>
      <c r="Z102" s="66">
        <v>0</v>
      </c>
      <c r="AA102" s="66">
        <v>0</v>
      </c>
      <c r="AB102" s="66">
        <v>0</v>
      </c>
      <c r="AC102" s="66">
        <v>0</v>
      </c>
      <c r="AD102" s="66">
        <v>0</v>
      </c>
      <c r="AE102" s="70">
        <v>0</v>
      </c>
      <c r="AF102" s="66">
        <v>0</v>
      </c>
      <c r="AG102" s="66">
        <v>0</v>
      </c>
      <c r="AH102" s="66">
        <v>0</v>
      </c>
      <c r="AI102" s="66">
        <v>0</v>
      </c>
      <c r="AJ102" s="66">
        <v>0</v>
      </c>
      <c r="AK102" s="66">
        <v>0</v>
      </c>
      <c r="AL102" s="70">
        <v>0</v>
      </c>
      <c r="AM102" s="66">
        <v>0</v>
      </c>
      <c r="AN102" s="66">
        <v>0</v>
      </c>
      <c r="AO102" s="66">
        <v>0</v>
      </c>
      <c r="AP102" s="66">
        <v>0</v>
      </c>
      <c r="AQ102" s="71">
        <v>0</v>
      </c>
      <c r="AR102" s="71">
        <v>0</v>
      </c>
      <c r="AS102" s="111"/>
      <c r="AT102" t="e">
        <f t="shared" si="3"/>
        <v>#DIV/0!</v>
      </c>
      <c r="AU102" t="str">
        <f t="shared" si="2"/>
        <v>Holy See</v>
      </c>
    </row>
    <row r="103" spans="1:47">
      <c r="A103">
        <v>190</v>
      </c>
      <c r="B103" s="72" t="s">
        <v>363</v>
      </c>
      <c r="C103" s="73" t="s">
        <v>82</v>
      </c>
      <c r="D103" s="73">
        <v>2015</v>
      </c>
      <c r="E103" s="59">
        <v>79.776446972449179</v>
      </c>
      <c r="F103" s="60">
        <v>8.5038601212706002</v>
      </c>
      <c r="G103" s="60">
        <v>4.5015313492058864</v>
      </c>
      <c r="H103" s="61">
        <v>7.2181615570743149</v>
      </c>
      <c r="I103" s="62">
        <v>1.1911481618881226</v>
      </c>
      <c r="J103" s="63">
        <v>-0.86585158109664917</v>
      </c>
      <c r="K103" s="64">
        <v>75.074551620164257</v>
      </c>
      <c r="L103" s="60">
        <v>5.6232407695982642</v>
      </c>
      <c r="M103" s="65">
        <v>5.9541634814013378</v>
      </c>
      <c r="N103" s="61">
        <v>13.34804412883614</v>
      </c>
      <c r="O103" s="63">
        <v>1.6884225606918335</v>
      </c>
      <c r="P103" s="63">
        <v>-1.3764647245407104</v>
      </c>
      <c r="Q103" s="74">
        <v>83.665626628907049</v>
      </c>
      <c r="R103" s="66">
        <v>10.88656865498532</v>
      </c>
      <c r="S103" s="66">
        <v>3.2999845444463749</v>
      </c>
      <c r="T103" s="67">
        <v>2.147820171661238</v>
      </c>
      <c r="U103" s="68">
        <v>0.47768142819404602</v>
      </c>
      <c r="V103" s="68">
        <v>-0.10090164840221405</v>
      </c>
      <c r="W103" s="69"/>
      <c r="X103" s="70">
        <v>0</v>
      </c>
      <c r="Y103" s="66">
        <v>0</v>
      </c>
      <c r="Z103" s="66">
        <v>0</v>
      </c>
      <c r="AA103" s="66">
        <v>1.0522555648060921</v>
      </c>
      <c r="AB103" s="66">
        <v>21.79494784381944</v>
      </c>
      <c r="AC103" s="66">
        <v>22.906313635093358</v>
      </c>
      <c r="AD103" s="66">
        <v>35.075185493536402</v>
      </c>
      <c r="AE103" s="70">
        <v>0</v>
      </c>
      <c r="AF103" s="66">
        <v>0</v>
      </c>
      <c r="AG103" s="66">
        <v>0</v>
      </c>
      <c r="AH103" s="66">
        <v>0.1761038105011935</v>
      </c>
      <c r="AI103" s="66">
        <v>37.973611028514142</v>
      </c>
      <c r="AJ103" s="66">
        <v>31.230813574943671</v>
      </c>
      <c r="AK103" s="66">
        <v>5.8701270167064488</v>
      </c>
      <c r="AL103" s="70">
        <v>14.509163551779951</v>
      </c>
      <c r="AM103" s="66">
        <v>12.765100800971</v>
      </c>
      <c r="AN103" s="66">
        <v>0</v>
      </c>
      <c r="AO103" s="66">
        <v>1.7440627508089519</v>
      </c>
      <c r="AP103" s="66">
        <v>9.1185150771200085</v>
      </c>
      <c r="AQ103" s="71">
        <v>16.411686524821992</v>
      </c>
      <c r="AR103" s="71">
        <v>58.135425026965052</v>
      </c>
      <c r="AS103" s="111"/>
      <c r="AT103">
        <f t="shared" si="3"/>
        <v>0.97000000000000008</v>
      </c>
      <c r="AU103" t="str">
        <f t="shared" si="2"/>
        <v>Honduras</v>
      </c>
    </row>
    <row r="104" spans="1:47">
      <c r="A104">
        <v>192</v>
      </c>
      <c r="B104" s="72" t="s">
        <v>364</v>
      </c>
      <c r="C104" s="73" t="s">
        <v>83</v>
      </c>
      <c r="D104" s="73">
        <v>2015</v>
      </c>
      <c r="E104" s="59">
        <v>97.989531481107292</v>
      </c>
      <c r="F104" s="60">
        <v>2.0104685188927061</v>
      </c>
      <c r="G104" s="60">
        <v>0</v>
      </c>
      <c r="H104" s="61">
        <v>0</v>
      </c>
      <c r="I104" s="62">
        <v>-3.6131665110588074E-3</v>
      </c>
      <c r="J104" s="63">
        <v>0</v>
      </c>
      <c r="K104" s="64">
        <v>98.569856985698564</v>
      </c>
      <c r="L104" s="60">
        <v>1.43014301430143</v>
      </c>
      <c r="M104" s="65">
        <v>0</v>
      </c>
      <c r="N104" s="61">
        <v>0</v>
      </c>
      <c r="O104" s="63">
        <v>0</v>
      </c>
      <c r="P104" s="63">
        <v>0</v>
      </c>
      <c r="Q104" s="74">
        <v>97.755102040816325</v>
      </c>
      <c r="R104" s="66">
        <v>2.2448979591836742</v>
      </c>
      <c r="S104" s="66">
        <v>0</v>
      </c>
      <c r="T104" s="67">
        <v>0</v>
      </c>
      <c r="U104" s="68">
        <v>0</v>
      </c>
      <c r="V104" s="68">
        <v>0</v>
      </c>
      <c r="W104" s="69"/>
      <c r="X104" s="70">
        <v>75.639319669542928</v>
      </c>
      <c r="Y104" s="66">
        <v>22.350211811564382</v>
      </c>
      <c r="Z104" s="66">
        <v>0</v>
      </c>
      <c r="AA104" s="66">
        <v>53.289107857978543</v>
      </c>
      <c r="AB104" s="66">
        <v>44.700423623128763</v>
      </c>
      <c r="AC104" s="66">
        <v>0</v>
      </c>
      <c r="AD104" s="66">
        <v>53.289107857978543</v>
      </c>
      <c r="AE104" s="70">
        <v>0</v>
      </c>
      <c r="AF104" s="66">
        <v>0</v>
      </c>
      <c r="AG104" s="66">
        <v>0</v>
      </c>
      <c r="AH104" s="66">
        <v>18.136853685368539</v>
      </c>
      <c r="AI104" s="66">
        <v>80.433003300330029</v>
      </c>
      <c r="AJ104" s="66">
        <v>0</v>
      </c>
      <c r="AK104" s="66">
        <v>18.136853685368539</v>
      </c>
      <c r="AL104" s="70">
        <v>82.562977537880883</v>
      </c>
      <c r="AM104" s="66">
        <v>15.19212450293543</v>
      </c>
      <c r="AN104" s="66">
        <v>0</v>
      </c>
      <c r="AO104" s="66">
        <v>67.370853034945455</v>
      </c>
      <c r="AP104" s="66">
        <v>30.384249005870871</v>
      </c>
      <c r="AQ104" s="71">
        <v>0</v>
      </c>
      <c r="AR104" s="71">
        <v>67.370853034945455</v>
      </c>
      <c r="AS104" s="111"/>
      <c r="AT104">
        <f t="shared" si="3"/>
        <v>0</v>
      </c>
      <c r="AU104" t="str">
        <f t="shared" si="2"/>
        <v>Hungary</v>
      </c>
    </row>
    <row r="105" spans="1:47">
      <c r="A105">
        <v>194</v>
      </c>
      <c r="B105" s="72" t="s">
        <v>365</v>
      </c>
      <c r="C105" s="73" t="s">
        <v>84</v>
      </c>
      <c r="D105" s="73">
        <v>2015</v>
      </c>
      <c r="E105" s="59">
        <v>98.777441558441552</v>
      </c>
      <c r="F105" s="60">
        <v>1.2225584415584421</v>
      </c>
      <c r="G105" s="60">
        <v>0</v>
      </c>
      <c r="H105" s="61">
        <v>0</v>
      </c>
      <c r="I105" s="62">
        <v>-1.2644230155274272E-3</v>
      </c>
      <c r="J105" s="63">
        <v>0</v>
      </c>
      <c r="K105" s="64">
        <v>100</v>
      </c>
      <c r="L105" s="60">
        <v>0</v>
      </c>
      <c r="M105" s="65">
        <v>0</v>
      </c>
      <c r="N105" s="61">
        <v>0</v>
      </c>
      <c r="O105" s="63">
        <v>0</v>
      </c>
      <c r="P105" s="63">
        <v>0</v>
      </c>
      <c r="Q105" s="74">
        <v>98.701298701298697</v>
      </c>
      <c r="R105" s="66">
        <v>1.2987012987012989</v>
      </c>
      <c r="S105" s="66">
        <v>0</v>
      </c>
      <c r="T105" s="67">
        <v>0</v>
      </c>
      <c r="U105" s="68">
        <v>2.5823013857007027E-4</v>
      </c>
      <c r="V105" s="68">
        <v>0</v>
      </c>
      <c r="W105" s="69"/>
      <c r="X105" s="70">
        <v>68.897953583416353</v>
      </c>
      <c r="Y105" s="66">
        <v>2.8667040922928528</v>
      </c>
      <c r="Z105" s="66">
        <v>0</v>
      </c>
      <c r="AA105" s="66">
        <v>66.031249491123504</v>
      </c>
      <c r="AB105" s="66">
        <v>0</v>
      </c>
      <c r="AC105" s="66">
        <v>5.7334081845857057</v>
      </c>
      <c r="AD105" s="66">
        <v>93.044033373855839</v>
      </c>
      <c r="AE105" s="70">
        <v>0</v>
      </c>
      <c r="AF105" s="66">
        <v>0</v>
      </c>
      <c r="AG105" s="66">
        <v>0</v>
      </c>
      <c r="AH105" s="66">
        <v>0.70967741935483875</v>
      </c>
      <c r="AI105" s="66">
        <v>0</v>
      </c>
      <c r="AJ105" s="66">
        <v>99</v>
      </c>
      <c r="AK105" s="66">
        <v>1</v>
      </c>
      <c r="AL105" s="70">
        <v>70.046082949308754</v>
      </c>
      <c r="AM105" s="66">
        <v>0</v>
      </c>
      <c r="AN105" s="66">
        <v>0</v>
      </c>
      <c r="AO105" s="66">
        <v>70.046082949308754</v>
      </c>
      <c r="AP105" s="66">
        <v>0</v>
      </c>
      <c r="AQ105" s="71">
        <v>0</v>
      </c>
      <c r="AR105" s="71">
        <v>98.701298701298697</v>
      </c>
      <c r="AS105" s="111"/>
      <c r="AT105">
        <f t="shared" si="3"/>
        <v>0.29032258064516125</v>
      </c>
      <c r="AU105" t="str">
        <f t="shared" si="2"/>
        <v>Iceland</v>
      </c>
    </row>
    <row r="106" spans="1:47">
      <c r="A106">
        <v>196</v>
      </c>
      <c r="B106" s="72" t="s">
        <v>366</v>
      </c>
      <c r="C106" s="73" t="s">
        <v>85</v>
      </c>
      <c r="D106" s="73">
        <v>2015</v>
      </c>
      <c r="E106" s="59">
        <v>44.151122747409353</v>
      </c>
      <c r="F106" s="60">
        <v>12.23338563015313</v>
      </c>
      <c r="G106" s="60">
        <v>3.7801794343119401</v>
      </c>
      <c r="H106" s="61">
        <v>39.835312188125577</v>
      </c>
      <c r="I106" s="62">
        <v>1.4982019662857056</v>
      </c>
      <c r="J106" s="63">
        <v>-1.742097020149231</v>
      </c>
      <c r="K106" s="64">
        <v>33.804016228918989</v>
      </c>
      <c r="L106" s="60">
        <v>7.1775578473097683</v>
      </c>
      <c r="M106" s="65">
        <v>3.3969301698111849</v>
      </c>
      <c r="N106" s="61">
        <v>55.621495753960062</v>
      </c>
      <c r="O106" s="63">
        <v>1.5512332916259766</v>
      </c>
      <c r="P106" s="63">
        <v>-1.7728202342987061</v>
      </c>
      <c r="Q106" s="74">
        <v>65.401128997998185</v>
      </c>
      <c r="R106" s="66">
        <v>22.61661419703146</v>
      </c>
      <c r="S106" s="66">
        <v>4.5672641378105254</v>
      </c>
      <c r="T106" s="67">
        <v>7.4149926671598223</v>
      </c>
      <c r="U106" s="68">
        <v>0.9727817177772522</v>
      </c>
      <c r="V106" s="68">
        <v>-1.0716867446899414</v>
      </c>
      <c r="W106" s="69"/>
      <c r="X106" s="70">
        <v>0</v>
      </c>
      <c r="Y106" s="66">
        <v>0</v>
      </c>
      <c r="Z106" s="66">
        <v>0</v>
      </c>
      <c r="AA106" s="66">
        <v>3.5189344289860589</v>
      </c>
      <c r="AB106" s="66">
        <v>12.036740698378029</v>
      </c>
      <c r="AC106" s="66">
        <v>22.650972358328701</v>
      </c>
      <c r="AD106" s="66">
        <v>9.463409690702612</v>
      </c>
      <c r="AE106" s="70">
        <v>30.532178178120919</v>
      </c>
      <c r="AF106" s="66">
        <v>30.028330893506951</v>
      </c>
      <c r="AG106" s="66">
        <v>0</v>
      </c>
      <c r="AH106" s="66">
        <v>0.50384728461396755</v>
      </c>
      <c r="AI106" s="66">
        <v>14.543286122386601</v>
      </c>
      <c r="AJ106" s="66">
        <v>17.90574229073956</v>
      </c>
      <c r="AK106" s="66">
        <v>1.3549878157928319</v>
      </c>
      <c r="AL106" s="70">
        <v>0</v>
      </c>
      <c r="AM106" s="66">
        <v>0</v>
      </c>
      <c r="AN106" s="66">
        <v>0</v>
      </c>
      <c r="AO106" s="66">
        <v>9.2648814399110329</v>
      </c>
      <c r="AP106" s="66">
        <v>7.9742033037366387</v>
      </c>
      <c r="AQ106" s="71">
        <v>32.511039771679002</v>
      </c>
      <c r="AR106" s="71">
        <v>24.915885922582561</v>
      </c>
      <c r="AS106" s="111"/>
      <c r="AT106">
        <f t="shared" si="3"/>
        <v>0.62815364186935085</v>
      </c>
      <c r="AU106" t="str">
        <f t="shared" si="2"/>
        <v>India</v>
      </c>
    </row>
    <row r="107" spans="1:47">
      <c r="A107">
        <v>198</v>
      </c>
      <c r="B107" s="72" t="s">
        <v>367</v>
      </c>
      <c r="C107" s="73" t="s">
        <v>86</v>
      </c>
      <c r="D107" s="73">
        <v>2015</v>
      </c>
      <c r="E107" s="59">
        <v>67.886608161561739</v>
      </c>
      <c r="F107" s="60">
        <v>14.614180618698599</v>
      </c>
      <c r="G107" s="60">
        <v>5.0506256299245322</v>
      </c>
      <c r="H107" s="61">
        <v>12.448585589815121</v>
      </c>
      <c r="I107" s="62">
        <v>1.5763676166534424</v>
      </c>
      <c r="J107" s="63">
        <v>-1.3141604661941528</v>
      </c>
      <c r="K107" s="64">
        <v>56.996836602864853</v>
      </c>
      <c r="L107" s="60">
        <v>14.404116223232791</v>
      </c>
      <c r="M107" s="65">
        <v>8.0434178866707953</v>
      </c>
      <c r="N107" s="61">
        <v>20.555629287231572</v>
      </c>
      <c r="O107" s="63">
        <v>1.9158802032470703</v>
      </c>
      <c r="P107" s="63">
        <v>-1.6396894454956055</v>
      </c>
      <c r="Q107" s="74">
        <v>77.259892608776241</v>
      </c>
      <c r="R107" s="66">
        <v>14.79499188001112</v>
      </c>
      <c r="S107" s="66">
        <v>2.4746034459237758</v>
      </c>
      <c r="T107" s="67">
        <v>5.4705120652888581</v>
      </c>
      <c r="U107" s="68">
        <v>0.72997301816940308</v>
      </c>
      <c r="V107" s="68">
        <v>-0.58356088399887085</v>
      </c>
      <c r="W107" s="69"/>
      <c r="X107" s="70">
        <v>0</v>
      </c>
      <c r="Y107" s="66">
        <v>0</v>
      </c>
      <c r="Z107" s="66">
        <v>0</v>
      </c>
      <c r="AA107" s="66">
        <v>0</v>
      </c>
      <c r="AB107" s="66">
        <v>14.69597241482569</v>
      </c>
      <c r="AC107" s="66">
        <v>53.190635746736064</v>
      </c>
      <c r="AD107" s="66">
        <v>0</v>
      </c>
      <c r="AE107" s="70">
        <v>0</v>
      </c>
      <c r="AF107" s="66">
        <v>0</v>
      </c>
      <c r="AG107" s="66">
        <v>0</v>
      </c>
      <c r="AH107" s="66">
        <v>0</v>
      </c>
      <c r="AI107" s="66">
        <v>14.924365081924201</v>
      </c>
      <c r="AJ107" s="66">
        <v>42.072471520940653</v>
      </c>
      <c r="AK107" s="66">
        <v>0</v>
      </c>
      <c r="AL107" s="70">
        <v>0</v>
      </c>
      <c r="AM107" s="66">
        <v>0</v>
      </c>
      <c r="AN107" s="66">
        <v>0</v>
      </c>
      <c r="AO107" s="66">
        <v>0</v>
      </c>
      <c r="AP107" s="66">
        <v>14.38502447208918</v>
      </c>
      <c r="AQ107" s="71">
        <v>62.874868136687063</v>
      </c>
      <c r="AR107" s="71">
        <v>0</v>
      </c>
      <c r="AS107" s="111"/>
      <c r="AT107" t="e">
        <f t="shared" si="3"/>
        <v>#DIV/0!</v>
      </c>
      <c r="AU107" t="str">
        <f t="shared" si="2"/>
        <v>Indonesia</v>
      </c>
    </row>
    <row r="108" spans="1:47">
      <c r="A108">
        <v>200</v>
      </c>
      <c r="B108" s="72" t="s">
        <v>368</v>
      </c>
      <c r="C108" s="73" t="s">
        <v>87</v>
      </c>
      <c r="D108" s="73">
        <v>2015</v>
      </c>
      <c r="E108" s="59">
        <v>88.28982192739231</v>
      </c>
      <c r="F108" s="60">
        <v>9.7338120316245806</v>
      </c>
      <c r="G108" s="60">
        <v>1.433127630781643</v>
      </c>
      <c r="H108" s="61">
        <v>0.54323841020146191</v>
      </c>
      <c r="I108" s="62">
        <v>6.9494612514972687E-2</v>
      </c>
      <c r="J108" s="63">
        <v>-9.6767675131559372E-3</v>
      </c>
      <c r="K108" s="64">
        <v>78.781626582661275</v>
      </c>
      <c r="L108" s="60">
        <v>16.943314587036511</v>
      </c>
      <c r="M108" s="65">
        <v>2.5906554996228031</v>
      </c>
      <c r="N108" s="61">
        <v>1.6844033306794119</v>
      </c>
      <c r="O108" s="63">
        <v>-1.3815838843584061E-2</v>
      </c>
      <c r="P108" s="63">
        <v>0</v>
      </c>
      <c r="Q108" s="74">
        <v>91.739984803759782</v>
      </c>
      <c r="R108" s="66">
        <v>7.1177574416710181</v>
      </c>
      <c r="S108" s="66">
        <v>1.0131047414065719</v>
      </c>
      <c r="T108" s="67">
        <v>0.12915301316261471</v>
      </c>
      <c r="U108" s="68">
        <v>-9.6255484968423843E-3</v>
      </c>
      <c r="V108" s="68">
        <v>0</v>
      </c>
      <c r="W108" s="69"/>
      <c r="X108" s="70">
        <v>0</v>
      </c>
      <c r="Y108" s="66">
        <v>0</v>
      </c>
      <c r="Z108" s="66">
        <v>0</v>
      </c>
      <c r="AA108" s="66">
        <v>0</v>
      </c>
      <c r="AB108" s="66">
        <v>63.30872419596728</v>
      </c>
      <c r="AC108" s="66">
        <v>1.1389290579802791</v>
      </c>
      <c r="AD108" s="66">
        <v>23.84216867344476</v>
      </c>
      <c r="AE108" s="70">
        <v>0</v>
      </c>
      <c r="AF108" s="66">
        <v>0</v>
      </c>
      <c r="AG108" s="66">
        <v>0</v>
      </c>
      <c r="AH108" s="66">
        <v>0</v>
      </c>
      <c r="AI108" s="66">
        <v>76.605392283438974</v>
      </c>
      <c r="AJ108" s="66">
        <v>0.98543396583839937</v>
      </c>
      <c r="AK108" s="66">
        <v>1.1908003333839059</v>
      </c>
      <c r="AL108" s="70">
        <v>0</v>
      </c>
      <c r="AM108" s="66">
        <v>0</v>
      </c>
      <c r="AN108" s="66">
        <v>0</v>
      </c>
      <c r="AO108" s="66">
        <v>0</v>
      </c>
      <c r="AP108" s="66">
        <v>57.552670966785321</v>
      </c>
      <c r="AQ108" s="71">
        <v>1.1960543422308541</v>
      </c>
      <c r="AR108" s="71">
        <v>32.991259494743623</v>
      </c>
      <c r="AS108" s="111"/>
      <c r="AT108">
        <f t="shared" si="3"/>
        <v>1</v>
      </c>
      <c r="AU108" t="str">
        <f t="shared" si="2"/>
        <v>Iran (Islamic Republic of)</v>
      </c>
    </row>
    <row r="109" spans="1:47">
      <c r="A109">
        <v>202</v>
      </c>
      <c r="B109" s="72" t="s">
        <v>369</v>
      </c>
      <c r="C109" s="73" t="s">
        <v>88</v>
      </c>
      <c r="D109" s="73">
        <v>2015</v>
      </c>
      <c r="E109" s="59">
        <v>85.65929850091004</v>
      </c>
      <c r="F109" s="60">
        <v>10.299485172171289</v>
      </c>
      <c r="G109" s="60">
        <v>4.0221308873582453</v>
      </c>
      <c r="H109" s="61">
        <v>1.9085439560440801E-2</v>
      </c>
      <c r="I109" s="62">
        <v>0.69469058513641357</v>
      </c>
      <c r="J109" s="63">
        <v>-0.34864675998687744</v>
      </c>
      <c r="K109" s="64">
        <v>85.814798280430267</v>
      </c>
      <c r="L109" s="60">
        <v>8.8438112857548141</v>
      </c>
      <c r="M109" s="65">
        <v>5.3413904338149223</v>
      </c>
      <c r="N109" s="61">
        <v>0</v>
      </c>
      <c r="O109" s="63">
        <v>2.0806591510772705</v>
      </c>
      <c r="P109" s="63">
        <v>-1.0880951881408691</v>
      </c>
      <c r="Q109" s="74">
        <v>85.590964192076527</v>
      </c>
      <c r="R109" s="66">
        <v>10.939180413040271</v>
      </c>
      <c r="S109" s="66">
        <v>3.4423828674106818</v>
      </c>
      <c r="T109" s="67">
        <v>2.74725274725292E-2</v>
      </c>
      <c r="U109" s="68">
        <v>5.744161456823349E-2</v>
      </c>
      <c r="V109" s="68">
        <v>-8.5714282467961311E-3</v>
      </c>
      <c r="W109" s="69"/>
      <c r="X109" s="70">
        <v>31.937315476806329</v>
      </c>
      <c r="Y109" s="66">
        <v>14.90727461937195</v>
      </c>
      <c r="Z109" s="66">
        <v>0</v>
      </c>
      <c r="AA109" s="66">
        <v>17.030040857434368</v>
      </c>
      <c r="AB109" s="66">
        <v>27.0173921601194</v>
      </c>
      <c r="AC109" s="66">
        <v>33.2994890312441</v>
      </c>
      <c r="AD109" s="66">
        <v>25.34241730954653</v>
      </c>
      <c r="AE109" s="70">
        <v>25.894815562080101</v>
      </c>
      <c r="AF109" s="66">
        <v>23.693226070677831</v>
      </c>
      <c r="AG109" s="66">
        <v>0</v>
      </c>
      <c r="AH109" s="66">
        <v>2.2015894914022609</v>
      </c>
      <c r="AI109" s="66">
        <v>40.18661233174727</v>
      </c>
      <c r="AJ109" s="66">
        <v>42.351998880049393</v>
      </c>
      <c r="AK109" s="66">
        <v>3.276187068633603</v>
      </c>
      <c r="AL109" s="70">
        <v>34.934284809985307</v>
      </c>
      <c r="AM109" s="66">
        <v>11.53119278136224</v>
      </c>
      <c r="AN109" s="66">
        <v>0</v>
      </c>
      <c r="AO109" s="66">
        <v>23.403092028623071</v>
      </c>
      <c r="AP109" s="66">
        <v>21.35671646362907</v>
      </c>
      <c r="AQ109" s="71">
        <v>29.408087915438131</v>
      </c>
      <c r="AR109" s="71">
        <v>34.826159813009319</v>
      </c>
      <c r="AS109" s="111"/>
      <c r="AT109">
        <f t="shared" si="3"/>
        <v>0.32800250862339309</v>
      </c>
      <c r="AU109" t="str">
        <f t="shared" si="2"/>
        <v>Iraq</v>
      </c>
    </row>
    <row r="110" spans="1:47">
      <c r="A110">
        <v>204</v>
      </c>
      <c r="B110" s="72" t="s">
        <v>370</v>
      </c>
      <c r="C110" s="73" t="s">
        <v>89</v>
      </c>
      <c r="D110" s="73">
        <v>2015</v>
      </c>
      <c r="E110" s="59">
        <v>92.177951664646514</v>
      </c>
      <c r="F110" s="60">
        <v>7.0082053337442822</v>
      </c>
      <c r="G110" s="60">
        <v>0.81384300160921441</v>
      </c>
      <c r="H110" s="61">
        <v>0</v>
      </c>
      <c r="I110" s="62">
        <v>0.24026595056056976</v>
      </c>
      <c r="J110" s="63">
        <v>0</v>
      </c>
      <c r="K110" s="64">
        <v>94.787783994662576</v>
      </c>
      <c r="L110" s="60">
        <v>4.6783670211957924</v>
      </c>
      <c r="M110" s="65">
        <v>0.53384898414162762</v>
      </c>
      <c r="N110" s="61">
        <v>0</v>
      </c>
      <c r="O110" s="63">
        <v>0.25560915470123291</v>
      </c>
      <c r="P110" s="63">
        <v>0</v>
      </c>
      <c r="Q110" s="74">
        <v>90.660979658842365</v>
      </c>
      <c r="R110" s="66">
        <v>8.362430069769486</v>
      </c>
      <c r="S110" s="66">
        <v>0.97659027138814736</v>
      </c>
      <c r="T110" s="67">
        <v>0</v>
      </c>
      <c r="U110" s="68">
        <v>0.24871599674224854</v>
      </c>
      <c r="V110" s="68">
        <v>0</v>
      </c>
      <c r="W110" s="69"/>
      <c r="X110" s="70">
        <v>70.267085721811995</v>
      </c>
      <c r="Y110" s="66">
        <v>8.3612003263601284</v>
      </c>
      <c r="Z110" s="66">
        <v>0</v>
      </c>
      <c r="AA110" s="66">
        <v>61.905885395451868</v>
      </c>
      <c r="AB110" s="66">
        <v>6.2812704341803514</v>
      </c>
      <c r="AC110" s="66">
        <v>23.990795835014289</v>
      </c>
      <c r="AD110" s="66">
        <v>61.905885395451868</v>
      </c>
      <c r="AE110" s="70">
        <v>0</v>
      </c>
      <c r="AF110" s="66">
        <v>0</v>
      </c>
      <c r="AG110" s="66">
        <v>0</v>
      </c>
      <c r="AH110" s="66">
        <v>20.843039263801732</v>
      </c>
      <c r="AI110" s="66">
        <v>11.32698379768655</v>
      </c>
      <c r="AJ110" s="66">
        <v>62.617760933174317</v>
      </c>
      <c r="AK110" s="66">
        <v>20.843039263801732</v>
      </c>
      <c r="AL110" s="70">
        <v>87.728840575155189</v>
      </c>
      <c r="AM110" s="66">
        <v>2.932139083687165</v>
      </c>
      <c r="AN110" s="66">
        <v>0</v>
      </c>
      <c r="AO110" s="66">
        <v>84.796701491468028</v>
      </c>
      <c r="AP110" s="66">
        <v>3.4595233148803199</v>
      </c>
      <c r="AQ110" s="71">
        <v>2.4047548524940101</v>
      </c>
      <c r="AR110" s="71">
        <v>84.796701491468028</v>
      </c>
      <c r="AS110" s="111"/>
      <c r="AT110">
        <f t="shared" si="3"/>
        <v>0</v>
      </c>
      <c r="AU110" t="str">
        <f t="shared" si="2"/>
        <v>Ireland</v>
      </c>
    </row>
    <row r="111" spans="1:47">
      <c r="A111">
        <v>206</v>
      </c>
      <c r="B111" s="72" t="s">
        <v>371</v>
      </c>
      <c r="C111" s="73" t="s">
        <v>90</v>
      </c>
      <c r="D111" s="73">
        <v>2015</v>
      </c>
      <c r="E111" s="59">
        <v>0</v>
      </c>
      <c r="F111" s="60">
        <v>0</v>
      </c>
      <c r="G111" s="60">
        <v>0</v>
      </c>
      <c r="H111" s="61">
        <v>0</v>
      </c>
      <c r="I111" s="62">
        <v>0</v>
      </c>
      <c r="J111" s="63">
        <v>0</v>
      </c>
      <c r="K111" s="64">
        <v>0</v>
      </c>
      <c r="L111" s="60">
        <v>0</v>
      </c>
      <c r="M111" s="65">
        <v>0</v>
      </c>
      <c r="N111" s="61">
        <v>0</v>
      </c>
      <c r="O111" s="63">
        <v>0</v>
      </c>
      <c r="P111" s="63">
        <v>0</v>
      </c>
      <c r="Q111" s="74">
        <v>0</v>
      </c>
      <c r="R111" s="66">
        <v>0</v>
      </c>
      <c r="S111" s="66">
        <v>0</v>
      </c>
      <c r="T111" s="67">
        <v>0</v>
      </c>
      <c r="U111" s="68">
        <v>0</v>
      </c>
      <c r="V111" s="68">
        <v>0</v>
      </c>
      <c r="W111" s="69"/>
      <c r="X111" s="70">
        <v>0</v>
      </c>
      <c r="Y111" s="66">
        <v>0</v>
      </c>
      <c r="Z111" s="66">
        <v>0</v>
      </c>
      <c r="AA111" s="66">
        <v>0</v>
      </c>
      <c r="AB111" s="66">
        <v>0</v>
      </c>
      <c r="AC111" s="66">
        <v>0</v>
      </c>
      <c r="AD111" s="66">
        <v>0</v>
      </c>
      <c r="AE111" s="70">
        <v>0</v>
      </c>
      <c r="AF111" s="66">
        <v>0</v>
      </c>
      <c r="AG111" s="66">
        <v>0</v>
      </c>
      <c r="AH111" s="66">
        <v>0</v>
      </c>
      <c r="AI111" s="66">
        <v>0</v>
      </c>
      <c r="AJ111" s="66">
        <v>0</v>
      </c>
      <c r="AK111" s="66">
        <v>0</v>
      </c>
      <c r="AL111" s="70">
        <v>0</v>
      </c>
      <c r="AM111" s="66">
        <v>0</v>
      </c>
      <c r="AN111" s="66">
        <v>0</v>
      </c>
      <c r="AO111" s="66">
        <v>0</v>
      </c>
      <c r="AP111" s="66">
        <v>0</v>
      </c>
      <c r="AQ111" s="71">
        <v>0</v>
      </c>
      <c r="AR111" s="71">
        <v>0</v>
      </c>
      <c r="AS111" s="111"/>
      <c r="AT111" t="e">
        <f t="shared" si="3"/>
        <v>#DIV/0!</v>
      </c>
      <c r="AU111" t="str">
        <f t="shared" si="2"/>
        <v>Isle of Man</v>
      </c>
    </row>
    <row r="112" spans="1:47">
      <c r="A112">
        <v>208</v>
      </c>
      <c r="B112" s="72" t="s">
        <v>372</v>
      </c>
      <c r="C112" s="73" t="s">
        <v>91</v>
      </c>
      <c r="D112" s="73">
        <v>2015</v>
      </c>
      <c r="E112" s="59">
        <v>100</v>
      </c>
      <c r="F112" s="60">
        <v>0</v>
      </c>
      <c r="G112" s="60">
        <v>0</v>
      </c>
      <c r="H112" s="61">
        <v>0</v>
      </c>
      <c r="I112" s="62">
        <v>0</v>
      </c>
      <c r="J112" s="63">
        <v>0</v>
      </c>
      <c r="K112" s="64">
        <v>100</v>
      </c>
      <c r="L112" s="60">
        <v>0</v>
      </c>
      <c r="M112" s="65">
        <v>0</v>
      </c>
      <c r="N112" s="61">
        <v>0</v>
      </c>
      <c r="O112" s="63">
        <v>0</v>
      </c>
      <c r="P112" s="63">
        <v>0</v>
      </c>
      <c r="Q112" s="74">
        <v>100</v>
      </c>
      <c r="R112" s="66">
        <v>0</v>
      </c>
      <c r="S112" s="66">
        <v>0</v>
      </c>
      <c r="T112" s="67">
        <v>0</v>
      </c>
      <c r="U112" s="68">
        <v>0</v>
      </c>
      <c r="V112" s="68">
        <v>0</v>
      </c>
      <c r="W112" s="69"/>
      <c r="X112" s="70">
        <v>93.280417995058713</v>
      </c>
      <c r="Y112" s="66">
        <v>0.42685000000000878</v>
      </c>
      <c r="Z112" s="66">
        <v>0</v>
      </c>
      <c r="AA112" s="66">
        <v>92.853567995058711</v>
      </c>
      <c r="AB112" s="66">
        <v>0</v>
      </c>
      <c r="AC112" s="66">
        <v>0.85370000000000046</v>
      </c>
      <c r="AD112" s="66">
        <v>99.146299999999997</v>
      </c>
      <c r="AE112" s="70">
        <v>91.47043015756087</v>
      </c>
      <c r="AF112" s="66">
        <v>2.5</v>
      </c>
      <c r="AG112" s="66">
        <v>0</v>
      </c>
      <c r="AH112" s="66">
        <v>88.97043015756087</v>
      </c>
      <c r="AI112" s="66">
        <v>0</v>
      </c>
      <c r="AJ112" s="66">
        <v>5</v>
      </c>
      <c r="AK112" s="66">
        <v>95</v>
      </c>
      <c r="AL112" s="70">
        <v>93.43481895449797</v>
      </c>
      <c r="AM112" s="66">
        <v>0.25</v>
      </c>
      <c r="AN112" s="66">
        <v>0</v>
      </c>
      <c r="AO112" s="66">
        <v>93.18481895449797</v>
      </c>
      <c r="AP112" s="66">
        <v>0</v>
      </c>
      <c r="AQ112" s="71">
        <v>0.5</v>
      </c>
      <c r="AR112" s="71">
        <v>99.5</v>
      </c>
      <c r="AS112" s="111"/>
      <c r="AT112">
        <f t="shared" si="3"/>
        <v>6.3469156236201307E-2</v>
      </c>
      <c r="AU112" t="str">
        <f t="shared" si="2"/>
        <v>Israel</v>
      </c>
    </row>
    <row r="113" spans="1:47">
      <c r="A113">
        <v>210</v>
      </c>
      <c r="B113" s="72" t="s">
        <v>373</v>
      </c>
      <c r="C113" s="73" t="s">
        <v>92</v>
      </c>
      <c r="D113" s="73">
        <v>2015</v>
      </c>
      <c r="E113" s="59">
        <v>99.281444353504682</v>
      </c>
      <c r="F113" s="60">
        <v>0.1000196464953165</v>
      </c>
      <c r="G113" s="60">
        <v>0.61853600000002018</v>
      </c>
      <c r="H113" s="61">
        <v>0</v>
      </c>
      <c r="I113" s="62">
        <v>0</v>
      </c>
      <c r="J113" s="63">
        <v>0</v>
      </c>
      <c r="K113" s="64">
        <v>99.212688442211046</v>
      </c>
      <c r="L113" s="60">
        <v>9.9811557788944794E-2</v>
      </c>
      <c r="M113" s="65">
        <v>0.6875</v>
      </c>
      <c r="N113" s="61">
        <v>0</v>
      </c>
      <c r="O113" s="63">
        <v>0</v>
      </c>
      <c r="P113" s="63">
        <v>0</v>
      </c>
      <c r="Q113" s="74">
        <v>99.312386706948629</v>
      </c>
      <c r="R113" s="66">
        <v>0.1001132930513596</v>
      </c>
      <c r="S113" s="66">
        <v>0.58750000000000568</v>
      </c>
      <c r="T113" s="67">
        <v>0</v>
      </c>
      <c r="U113" s="68">
        <v>0</v>
      </c>
      <c r="V113" s="68">
        <v>0</v>
      </c>
      <c r="W113" s="69"/>
      <c r="X113" s="70">
        <v>95.426353520507277</v>
      </c>
      <c r="Y113" s="66">
        <v>0.92989373535344233</v>
      </c>
      <c r="Z113" s="66">
        <v>0</v>
      </c>
      <c r="AA113" s="66">
        <v>94.496459785153831</v>
      </c>
      <c r="AB113" s="66">
        <v>0.27773819669500532</v>
      </c>
      <c r="AC113" s="66">
        <v>1.582049274011879</v>
      </c>
      <c r="AD113" s="66">
        <v>97.421656882797777</v>
      </c>
      <c r="AE113" s="70">
        <v>93.69131567669136</v>
      </c>
      <c r="AF113" s="66">
        <v>2.704829086490895</v>
      </c>
      <c r="AG113" s="66">
        <v>0</v>
      </c>
      <c r="AH113" s="66">
        <v>90.986486590200471</v>
      </c>
      <c r="AI113" s="66">
        <v>0.31218592964824121</v>
      </c>
      <c r="AJ113" s="66">
        <v>5.0974722433335478</v>
      </c>
      <c r="AK113" s="66">
        <v>93.803030269229268</v>
      </c>
      <c r="AL113" s="70">
        <v>96.207174377265758</v>
      </c>
      <c r="AM113" s="66">
        <v>0.13111782477340819</v>
      </c>
      <c r="AN113" s="66">
        <v>0</v>
      </c>
      <c r="AO113" s="66">
        <v>96.076056552492346</v>
      </c>
      <c r="AP113" s="66">
        <v>0.26223564954681639</v>
      </c>
      <c r="AQ113" s="71">
        <v>0</v>
      </c>
      <c r="AR113" s="71">
        <v>99.05015105740182</v>
      </c>
      <c r="AS113" s="111"/>
      <c r="AT113">
        <f t="shared" si="3"/>
        <v>3.0026148099319194E-2</v>
      </c>
      <c r="AU113" t="str">
        <f t="shared" si="2"/>
        <v>Italy</v>
      </c>
    </row>
    <row r="114" spans="1:47">
      <c r="A114">
        <v>212</v>
      </c>
      <c r="B114" s="72" t="s">
        <v>374</v>
      </c>
      <c r="C114" s="73" t="s">
        <v>93</v>
      </c>
      <c r="D114" s="73">
        <v>2015</v>
      </c>
      <c r="E114" s="59">
        <v>85.37371383292853</v>
      </c>
      <c r="F114" s="60">
        <v>13.31254954319564</v>
      </c>
      <c r="G114" s="60">
        <v>0.56905120706399415</v>
      </c>
      <c r="H114" s="61">
        <v>0.74468541681182898</v>
      </c>
      <c r="I114" s="62">
        <v>0.10819964110851288</v>
      </c>
      <c r="J114" s="63">
        <v>-1.0255697183310986E-2</v>
      </c>
      <c r="K114" s="64">
        <v>87.473298784358064</v>
      </c>
      <c r="L114" s="60">
        <v>11.49326050733174</v>
      </c>
      <c r="M114" s="65">
        <v>0.32971020913106491</v>
      </c>
      <c r="N114" s="61">
        <v>0.70373049917913022</v>
      </c>
      <c r="O114" s="63">
        <v>0.23360827565193176</v>
      </c>
      <c r="P114" s="63">
        <v>-3.9756346493959427E-2</v>
      </c>
      <c r="Q114" s="74">
        <v>83.64110021636958</v>
      </c>
      <c r="R114" s="66">
        <v>14.81385814890271</v>
      </c>
      <c r="S114" s="66">
        <v>0.76655951542610978</v>
      </c>
      <c r="T114" s="67">
        <v>0.77848211930160005</v>
      </c>
      <c r="U114" s="68">
        <v>6.236005574464798E-3</v>
      </c>
      <c r="V114" s="68">
        <v>1.6893289983272552E-2</v>
      </c>
      <c r="W114" s="69"/>
      <c r="X114" s="70">
        <v>0</v>
      </c>
      <c r="Y114" s="66">
        <v>0</v>
      </c>
      <c r="Z114" s="66">
        <v>0</v>
      </c>
      <c r="AA114" s="66">
        <v>7.6631555032022849</v>
      </c>
      <c r="AB114" s="66">
        <v>44.83270406079972</v>
      </c>
      <c r="AC114" s="66">
        <v>21.383121014123109</v>
      </c>
      <c r="AD114" s="66">
        <v>19.157888758005711</v>
      </c>
      <c r="AE114" s="70">
        <v>0</v>
      </c>
      <c r="AF114" s="66">
        <v>0</v>
      </c>
      <c r="AG114" s="66">
        <v>0</v>
      </c>
      <c r="AH114" s="66">
        <v>2.5445945686837339</v>
      </c>
      <c r="AI114" s="66">
        <v>63.940682599217219</v>
      </c>
      <c r="AJ114" s="66">
        <v>17.171129763431509</v>
      </c>
      <c r="AK114" s="66">
        <v>6.3614864217093334</v>
      </c>
      <c r="AL114" s="70">
        <v>0</v>
      </c>
      <c r="AM114" s="66">
        <v>0</v>
      </c>
      <c r="AN114" s="66">
        <v>0</v>
      </c>
      <c r="AO114" s="66">
        <v>11.716976817803509</v>
      </c>
      <c r="AP114" s="66">
        <v>29.641589862284729</v>
      </c>
      <c r="AQ114" s="71">
        <v>24.70706830957608</v>
      </c>
      <c r="AR114" s="71">
        <v>29.292442044508761</v>
      </c>
      <c r="AS114" s="111"/>
      <c r="AT114">
        <f t="shared" si="3"/>
        <v>0.6</v>
      </c>
      <c r="AU114" t="str">
        <f t="shared" si="2"/>
        <v>Jamaica</v>
      </c>
    </row>
    <row r="115" spans="1:47">
      <c r="A115">
        <v>214</v>
      </c>
      <c r="B115" s="72" t="s">
        <v>375</v>
      </c>
      <c r="C115" s="73" t="s">
        <v>94</v>
      </c>
      <c r="D115" s="73">
        <v>2015</v>
      </c>
      <c r="E115" s="59">
        <v>100</v>
      </c>
      <c r="F115" s="60">
        <v>0</v>
      </c>
      <c r="G115" s="60">
        <v>0</v>
      </c>
      <c r="H115" s="61">
        <v>0</v>
      </c>
      <c r="I115" s="62">
        <v>1.1140113929286599E-3</v>
      </c>
      <c r="J115" s="63">
        <v>0</v>
      </c>
      <c r="K115" s="64">
        <v>0</v>
      </c>
      <c r="L115" s="60">
        <v>0</v>
      </c>
      <c r="M115" s="65">
        <v>0</v>
      </c>
      <c r="N115" s="61">
        <v>0</v>
      </c>
      <c r="O115" s="63">
        <v>0</v>
      </c>
      <c r="P115" s="63">
        <v>0</v>
      </c>
      <c r="Q115" s="74">
        <v>0</v>
      </c>
      <c r="R115" s="66">
        <v>0</v>
      </c>
      <c r="S115" s="66">
        <v>0</v>
      </c>
      <c r="T115" s="67">
        <v>0</v>
      </c>
      <c r="U115" s="68">
        <v>0</v>
      </c>
      <c r="V115" s="68">
        <v>0</v>
      </c>
      <c r="W115" s="69"/>
      <c r="X115" s="70">
        <v>99.7982935137629</v>
      </c>
      <c r="Y115" s="66">
        <v>3.57582276922137E-2</v>
      </c>
      <c r="Z115" s="66">
        <v>22.01643265068963</v>
      </c>
      <c r="AA115" s="66">
        <v>77.74610263538105</v>
      </c>
      <c r="AB115" s="66">
        <v>3.8003619733586191</v>
      </c>
      <c r="AC115" s="66">
        <v>18.26798383365799</v>
      </c>
      <c r="AD115" s="66">
        <v>77.931654192983387</v>
      </c>
      <c r="AE115" s="70">
        <v>0</v>
      </c>
      <c r="AF115" s="66">
        <v>0</v>
      </c>
      <c r="AG115" s="66">
        <v>0</v>
      </c>
      <c r="AH115" s="66">
        <v>0</v>
      </c>
      <c r="AI115" s="66">
        <v>0</v>
      </c>
      <c r="AJ115" s="66">
        <v>0</v>
      </c>
      <c r="AK115" s="66">
        <v>0</v>
      </c>
      <c r="AL115" s="70">
        <v>0</v>
      </c>
      <c r="AM115" s="66">
        <v>0</v>
      </c>
      <c r="AN115" s="66">
        <v>0</v>
      </c>
      <c r="AO115" s="66">
        <v>0</v>
      </c>
      <c r="AP115" s="66">
        <v>0</v>
      </c>
      <c r="AQ115" s="71">
        <v>0</v>
      </c>
      <c r="AR115" s="71">
        <v>0</v>
      </c>
      <c r="AS115" s="111"/>
      <c r="AT115">
        <f t="shared" si="3"/>
        <v>2.3809523809523356E-3</v>
      </c>
      <c r="AU115" t="str">
        <f t="shared" si="2"/>
        <v>Japan</v>
      </c>
    </row>
    <row r="116" spans="1:47">
      <c r="A116">
        <v>216</v>
      </c>
      <c r="B116" s="72" t="s">
        <v>376</v>
      </c>
      <c r="C116" s="73" t="s">
        <v>95</v>
      </c>
      <c r="D116" s="73">
        <v>2015</v>
      </c>
      <c r="E116" s="59">
        <v>96.708058018969155</v>
      </c>
      <c r="F116" s="60">
        <v>1.227597264960306</v>
      </c>
      <c r="G116" s="60">
        <v>2.0520725521481711</v>
      </c>
      <c r="H116" s="61">
        <v>1.2272163922379399E-2</v>
      </c>
      <c r="I116" s="62">
        <v>-0.12239222228527069</v>
      </c>
      <c r="J116" s="63">
        <v>-1.3268646784126759E-2</v>
      </c>
      <c r="K116" s="64">
        <v>95.744608426788034</v>
      </c>
      <c r="L116" s="60">
        <v>1.0866867352875129</v>
      </c>
      <c r="M116" s="65">
        <v>3.0988278263546651</v>
      </c>
      <c r="N116" s="61">
        <v>6.9877011569786901E-2</v>
      </c>
      <c r="O116" s="63">
        <v>-0.13989497721195221</v>
      </c>
      <c r="P116" s="63">
        <v>-6.5105751156806946E-2</v>
      </c>
      <c r="Q116" s="74">
        <v>96.895972080967837</v>
      </c>
      <c r="R116" s="66">
        <v>1.2550808720157149</v>
      </c>
      <c r="S116" s="66">
        <v>1.8479103031929429</v>
      </c>
      <c r="T116" s="67">
        <v>1.0367438235095001E-3</v>
      </c>
      <c r="U116" s="68">
        <v>-0.12168694287538528</v>
      </c>
      <c r="V116" s="68">
        <v>6.9116256781853735E-5</v>
      </c>
      <c r="W116" s="69"/>
      <c r="X116" s="70">
        <v>77.261983477501303</v>
      </c>
      <c r="Y116" s="66">
        <v>19.446074541467841</v>
      </c>
      <c r="Z116" s="66">
        <v>0</v>
      </c>
      <c r="AA116" s="66">
        <v>57.815908936033473</v>
      </c>
      <c r="AB116" s="66">
        <v>0</v>
      </c>
      <c r="AC116" s="66">
        <v>38.892149082935667</v>
      </c>
      <c r="AD116" s="66">
        <v>57.815908936033473</v>
      </c>
      <c r="AE116" s="70">
        <v>0</v>
      </c>
      <c r="AF116" s="66">
        <v>0</v>
      </c>
      <c r="AG116" s="66">
        <v>0</v>
      </c>
      <c r="AH116" s="66">
        <v>5.9873186861065921</v>
      </c>
      <c r="AI116" s="66">
        <v>0</v>
      </c>
      <c r="AJ116" s="66">
        <v>89.757289740681443</v>
      </c>
      <c r="AK116" s="66">
        <v>5.9873186861065921</v>
      </c>
      <c r="AL116" s="70">
        <v>82.402431567310543</v>
      </c>
      <c r="AM116" s="66">
        <v>14.49354051365729</v>
      </c>
      <c r="AN116" s="66">
        <v>0</v>
      </c>
      <c r="AO116" s="66">
        <v>67.90889105365325</v>
      </c>
      <c r="AP116" s="66">
        <v>0</v>
      </c>
      <c r="AQ116" s="71">
        <v>28.987081027314581</v>
      </c>
      <c r="AR116" s="71">
        <v>67.90889105365325</v>
      </c>
      <c r="AS116" s="111"/>
      <c r="AT116">
        <f t="shared" si="3"/>
        <v>0</v>
      </c>
      <c r="AU116" t="str">
        <f t="shared" si="2"/>
        <v>Jordan</v>
      </c>
    </row>
    <row r="117" spans="1:47">
      <c r="A117">
        <v>218</v>
      </c>
      <c r="B117" s="72" t="s">
        <v>377</v>
      </c>
      <c r="C117" s="73" t="s">
        <v>96</v>
      </c>
      <c r="D117" s="73">
        <v>2015</v>
      </c>
      <c r="E117" s="59">
        <v>97.805307967678942</v>
      </c>
      <c r="F117" s="60">
        <v>1.9506197069523299</v>
      </c>
      <c r="G117" s="60">
        <v>0.23449179258184771</v>
      </c>
      <c r="H117" s="61">
        <v>9.5805327868866003E-3</v>
      </c>
      <c r="I117" s="62">
        <v>5.7270321995019913E-2</v>
      </c>
      <c r="J117" s="63">
        <v>-3.4255208447575569E-3</v>
      </c>
      <c r="K117" s="64">
        <v>98.77280657662233</v>
      </c>
      <c r="L117" s="60">
        <v>0.89970079800893199</v>
      </c>
      <c r="M117" s="65">
        <v>0.3070008220900427</v>
      </c>
      <c r="N117" s="61">
        <v>2.0491803278691399E-2</v>
      </c>
      <c r="O117" s="63">
        <v>0.1076604425907135</v>
      </c>
      <c r="P117" s="63">
        <v>-7.8142080456018448E-3</v>
      </c>
      <c r="Q117" s="74">
        <v>96.955805414221828</v>
      </c>
      <c r="R117" s="66">
        <v>2.8733686270761059</v>
      </c>
      <c r="S117" s="66">
        <v>0.17082595870206771</v>
      </c>
      <c r="T117" s="67">
        <v>0</v>
      </c>
      <c r="U117" s="68">
        <v>1.184560265392065E-2</v>
      </c>
      <c r="V117" s="68">
        <v>0</v>
      </c>
      <c r="W117" s="69"/>
      <c r="X117" s="70">
        <v>0</v>
      </c>
      <c r="Y117" s="66">
        <v>0</v>
      </c>
      <c r="Z117" s="66">
        <v>0</v>
      </c>
      <c r="AA117" s="66">
        <v>28.105768385915798</v>
      </c>
      <c r="AB117" s="66">
        <v>55.195698385079332</v>
      </c>
      <c r="AC117" s="66">
        <v>7.5650105976671931</v>
      </c>
      <c r="AD117" s="66">
        <v>35.044598984932414</v>
      </c>
      <c r="AE117" s="70">
        <v>0</v>
      </c>
      <c r="AF117" s="66">
        <v>0</v>
      </c>
      <c r="AG117" s="66">
        <v>0</v>
      </c>
      <c r="AH117" s="66">
        <v>2.5467508527016962</v>
      </c>
      <c r="AI117" s="66">
        <v>88.63827623209886</v>
      </c>
      <c r="AJ117" s="66">
        <v>6.9590305281871983</v>
      </c>
      <c r="AK117" s="66">
        <v>3.1754998163362789</v>
      </c>
      <c r="AL117" s="70">
        <v>67.341732989406069</v>
      </c>
      <c r="AM117" s="66">
        <v>17.246395617218269</v>
      </c>
      <c r="AN117" s="66">
        <v>0</v>
      </c>
      <c r="AO117" s="66">
        <v>50.095337372187807</v>
      </c>
      <c r="AP117" s="66">
        <v>26.407623372183298</v>
      </c>
      <c r="AQ117" s="71">
        <v>8.0851678622532344</v>
      </c>
      <c r="AR117" s="71">
        <v>62.46301417978529</v>
      </c>
      <c r="AS117" s="111"/>
      <c r="AT117">
        <f t="shared" si="3"/>
        <v>0.19799999999999993</v>
      </c>
      <c r="AU117" t="str">
        <f t="shared" si="2"/>
        <v>Kazakhstan</v>
      </c>
    </row>
    <row r="118" spans="1:47">
      <c r="A118">
        <v>220</v>
      </c>
      <c r="B118" s="72" t="s">
        <v>378</v>
      </c>
      <c r="C118" s="73" t="s">
        <v>97</v>
      </c>
      <c r="D118" s="73">
        <v>2015</v>
      </c>
      <c r="E118" s="59">
        <v>29.844679814321239</v>
      </c>
      <c r="F118" s="60">
        <v>21.41652881742467</v>
      </c>
      <c r="G118" s="60">
        <v>36.70391984467598</v>
      </c>
      <c r="H118" s="61">
        <v>12.03487152357811</v>
      </c>
      <c r="I118" s="62">
        <v>-7.7474795281887054E-2</v>
      </c>
      <c r="J118" s="63">
        <v>-0.31932294368743896</v>
      </c>
      <c r="K118" s="64">
        <v>27.959186112879891</v>
      </c>
      <c r="L118" s="60">
        <v>14.444174880321709</v>
      </c>
      <c r="M118" s="65">
        <v>42.331802224681667</v>
      </c>
      <c r="N118" s="61">
        <v>15.264836782116729</v>
      </c>
      <c r="O118" s="63">
        <v>-0.15673787891864777</v>
      </c>
      <c r="P118" s="63">
        <v>-0.34237903356552124</v>
      </c>
      <c r="Q118" s="74">
        <v>35.318071841711941</v>
      </c>
      <c r="R118" s="66">
        <v>41.656546814998777</v>
      </c>
      <c r="S118" s="66">
        <v>20.366762883468311</v>
      </c>
      <c r="T118" s="67">
        <v>2.658618459820957</v>
      </c>
      <c r="U118" s="68">
        <v>0.10041142255067825</v>
      </c>
      <c r="V118" s="68">
        <v>1.5613281168043613E-2</v>
      </c>
      <c r="W118" s="69"/>
      <c r="X118" s="70">
        <v>0</v>
      </c>
      <c r="Y118" s="66">
        <v>0</v>
      </c>
      <c r="Z118" s="66">
        <v>0</v>
      </c>
      <c r="AA118" s="66">
        <v>0</v>
      </c>
      <c r="AB118" s="66">
        <v>25.10398362528014</v>
      </c>
      <c r="AC118" s="66">
        <v>1.7629027267749631</v>
      </c>
      <c r="AD118" s="66">
        <v>2.9777934622661411</v>
      </c>
      <c r="AE118" s="70">
        <v>0</v>
      </c>
      <c r="AF118" s="66">
        <v>0</v>
      </c>
      <c r="AG118" s="66">
        <v>0</v>
      </c>
      <c r="AH118" s="66">
        <v>0</v>
      </c>
      <c r="AI118" s="66">
        <v>27.415879287514201</v>
      </c>
      <c r="AJ118" s="66">
        <v>0.5341292497084883</v>
      </c>
      <c r="AK118" s="66">
        <v>9.1775756572044006E-3</v>
      </c>
      <c r="AL118" s="70">
        <v>0</v>
      </c>
      <c r="AM118" s="66">
        <v>0</v>
      </c>
      <c r="AN118" s="66">
        <v>0</v>
      </c>
      <c r="AO118" s="66">
        <v>0</v>
      </c>
      <c r="AP118" s="66">
        <v>21.834123685093751</v>
      </c>
      <c r="AQ118" s="71">
        <v>4.3433849367588433</v>
      </c>
      <c r="AR118" s="71">
        <v>9.1405632198593469</v>
      </c>
      <c r="AS118" s="111"/>
      <c r="AT118">
        <f t="shared" si="3"/>
        <v>1</v>
      </c>
      <c r="AU118" t="str">
        <f t="shared" si="2"/>
        <v>Kenya</v>
      </c>
    </row>
    <row r="119" spans="1:47">
      <c r="A119">
        <v>222</v>
      </c>
      <c r="B119" s="72" t="s">
        <v>379</v>
      </c>
      <c r="C119" s="73" t="s">
        <v>98</v>
      </c>
      <c r="D119" s="73">
        <v>2015</v>
      </c>
      <c r="E119" s="59">
        <v>39.772860436881551</v>
      </c>
      <c r="F119" s="60">
        <v>8.351245983396991</v>
      </c>
      <c r="G119" s="60">
        <v>17.230497047092911</v>
      </c>
      <c r="H119" s="61">
        <v>34.645396532628553</v>
      </c>
      <c r="I119" s="62">
        <v>0.63427984714508057</v>
      </c>
      <c r="J119" s="63">
        <v>-0.94309419393539429</v>
      </c>
      <c r="K119" s="64">
        <v>32.058341210116758</v>
      </c>
      <c r="L119" s="60">
        <v>4.131963978192827</v>
      </c>
      <c r="M119" s="65">
        <v>13.669290958455811</v>
      </c>
      <c r="N119" s="61">
        <v>50.140403853234602</v>
      </c>
      <c r="O119" s="63">
        <v>0.76421219110488892</v>
      </c>
      <c r="P119" s="63">
        <v>-0.30926311016082764</v>
      </c>
      <c r="Q119" s="74">
        <v>49.471033578220762</v>
      </c>
      <c r="R119" s="66">
        <v>13.65544268260815</v>
      </c>
      <c r="S119" s="66">
        <v>21.70740509857205</v>
      </c>
      <c r="T119" s="67">
        <v>15.16611864059905</v>
      </c>
      <c r="U119" s="68">
        <v>0.42537587881088257</v>
      </c>
      <c r="V119" s="68">
        <v>-1.7116736173629761</v>
      </c>
      <c r="W119" s="69"/>
      <c r="X119" s="70">
        <v>0</v>
      </c>
      <c r="Y119" s="66">
        <v>0</v>
      </c>
      <c r="Z119" s="66">
        <v>0</v>
      </c>
      <c r="AA119" s="66">
        <v>0</v>
      </c>
      <c r="AB119" s="66">
        <v>7.6320089922428744</v>
      </c>
      <c r="AC119" s="66">
        <v>22.022502374818171</v>
      </c>
      <c r="AD119" s="66">
        <v>10.1183490698205</v>
      </c>
      <c r="AE119" s="70">
        <v>0</v>
      </c>
      <c r="AF119" s="66">
        <v>0</v>
      </c>
      <c r="AG119" s="66">
        <v>0</v>
      </c>
      <c r="AH119" s="66">
        <v>0</v>
      </c>
      <c r="AI119" s="66">
        <v>7.3946301100987277</v>
      </c>
      <c r="AJ119" s="66">
        <v>19.738218278374859</v>
      </c>
      <c r="AK119" s="66">
        <v>4.9254928216431733</v>
      </c>
      <c r="AL119" s="70">
        <v>0</v>
      </c>
      <c r="AM119" s="66">
        <v>0</v>
      </c>
      <c r="AN119" s="66">
        <v>0</v>
      </c>
      <c r="AO119" s="66">
        <v>0</v>
      </c>
      <c r="AP119" s="66">
        <v>8.1106065554234945</v>
      </c>
      <c r="AQ119" s="71">
        <v>25.182231250008829</v>
      </c>
      <c r="AR119" s="71">
        <v>16.178195772788438</v>
      </c>
      <c r="AS119" s="111"/>
      <c r="AT119">
        <f t="shared" si="3"/>
        <v>1</v>
      </c>
      <c r="AU119" t="str">
        <f t="shared" si="2"/>
        <v>Kiribati</v>
      </c>
    </row>
    <row r="120" spans="1:47">
      <c r="A120">
        <v>224</v>
      </c>
      <c r="B120" s="72" t="s">
        <v>380</v>
      </c>
      <c r="C120" s="73" t="s">
        <v>99</v>
      </c>
      <c r="D120" s="73">
        <v>2015</v>
      </c>
      <c r="E120" s="59">
        <v>100</v>
      </c>
      <c r="F120" s="60">
        <v>0</v>
      </c>
      <c r="G120" s="60">
        <v>0</v>
      </c>
      <c r="H120" s="61">
        <v>0</v>
      </c>
      <c r="I120" s="62">
        <v>0</v>
      </c>
      <c r="J120" s="63">
        <v>0</v>
      </c>
      <c r="K120" s="64">
        <v>0</v>
      </c>
      <c r="L120" s="60">
        <v>0</v>
      </c>
      <c r="M120" s="65">
        <v>0</v>
      </c>
      <c r="N120" s="61">
        <v>0</v>
      </c>
      <c r="O120" s="63">
        <v>0</v>
      </c>
      <c r="P120" s="63">
        <v>0</v>
      </c>
      <c r="Q120" s="74">
        <v>0</v>
      </c>
      <c r="R120" s="66">
        <v>0</v>
      </c>
      <c r="S120" s="66">
        <v>0</v>
      </c>
      <c r="T120" s="67">
        <v>0</v>
      </c>
      <c r="U120" s="68">
        <v>0</v>
      </c>
      <c r="V120" s="68">
        <v>0</v>
      </c>
      <c r="W120" s="69"/>
      <c r="X120" s="70">
        <v>100</v>
      </c>
      <c r="Y120" s="66">
        <v>0</v>
      </c>
      <c r="Z120" s="66">
        <v>0</v>
      </c>
      <c r="AA120" s="66">
        <v>100</v>
      </c>
      <c r="AB120" s="66">
        <v>0</v>
      </c>
      <c r="AC120" s="66">
        <v>0</v>
      </c>
      <c r="AD120" s="66">
        <v>100</v>
      </c>
      <c r="AE120" s="70">
        <v>0</v>
      </c>
      <c r="AF120" s="66">
        <v>0</v>
      </c>
      <c r="AG120" s="66">
        <v>0</v>
      </c>
      <c r="AH120" s="66">
        <v>0</v>
      </c>
      <c r="AI120" s="66">
        <v>0</v>
      </c>
      <c r="AJ120" s="66">
        <v>0</v>
      </c>
      <c r="AK120" s="66">
        <v>0</v>
      </c>
      <c r="AL120" s="70">
        <v>0</v>
      </c>
      <c r="AM120" s="66">
        <v>0</v>
      </c>
      <c r="AN120" s="66">
        <v>0</v>
      </c>
      <c r="AO120" s="66">
        <v>0</v>
      </c>
      <c r="AP120" s="66">
        <v>0</v>
      </c>
      <c r="AQ120" s="71">
        <v>0</v>
      </c>
      <c r="AR120" s="71">
        <v>0</v>
      </c>
      <c r="AS120" s="111"/>
      <c r="AT120">
        <f t="shared" si="3"/>
        <v>0</v>
      </c>
      <c r="AU120" t="str">
        <f t="shared" si="2"/>
        <v>Kuwait</v>
      </c>
    </row>
    <row r="121" spans="1:47">
      <c r="A121">
        <v>226</v>
      </c>
      <c r="B121" s="72" t="s">
        <v>381</v>
      </c>
      <c r="C121" s="73" t="s">
        <v>100</v>
      </c>
      <c r="D121" s="73">
        <v>2015</v>
      </c>
      <c r="E121" s="59">
        <v>96.586078271049885</v>
      </c>
      <c r="F121" s="60">
        <v>3.1862148071360772</v>
      </c>
      <c r="G121" s="60">
        <v>0.22770692181404681</v>
      </c>
      <c r="H121" s="61">
        <v>0</v>
      </c>
      <c r="I121" s="62">
        <v>0.31196638941764832</v>
      </c>
      <c r="J121" s="63">
        <v>-7.8408131375908852E-3</v>
      </c>
      <c r="K121" s="64">
        <v>98.623233813171922</v>
      </c>
      <c r="L121" s="60">
        <v>1.3767661868280829</v>
      </c>
      <c r="M121" s="65">
        <v>0</v>
      </c>
      <c r="N121" s="61">
        <v>0</v>
      </c>
      <c r="O121" s="63">
        <v>0.45828106999397278</v>
      </c>
      <c r="P121" s="63">
        <v>-3.2876241020858288E-3</v>
      </c>
      <c r="Q121" s="74">
        <v>92.918034434556986</v>
      </c>
      <c r="R121" s="66">
        <v>6.4442560916310434</v>
      </c>
      <c r="S121" s="66">
        <v>0.63770947381196663</v>
      </c>
      <c r="T121" s="67">
        <v>0</v>
      </c>
      <c r="U121" s="68">
        <v>4.8175536096096039E-2</v>
      </c>
      <c r="V121" s="68">
        <v>-1.6186906024813652E-2</v>
      </c>
      <c r="W121" s="69"/>
      <c r="X121" s="70">
        <v>0</v>
      </c>
      <c r="Y121" s="66">
        <v>0</v>
      </c>
      <c r="Z121" s="66">
        <v>0</v>
      </c>
      <c r="AA121" s="66">
        <v>0</v>
      </c>
      <c r="AB121" s="66">
        <v>82.663964641205311</v>
      </c>
      <c r="AC121" s="66">
        <v>0.46472447610287881</v>
      </c>
      <c r="AD121" s="66">
        <v>13.457389153741699</v>
      </c>
      <c r="AE121" s="70">
        <v>0</v>
      </c>
      <c r="AF121" s="66">
        <v>0</v>
      </c>
      <c r="AG121" s="66">
        <v>0</v>
      </c>
      <c r="AH121" s="66">
        <v>0</v>
      </c>
      <c r="AI121" s="66">
        <v>97.848257329174132</v>
      </c>
      <c r="AJ121" s="66">
        <v>0.21407705429931659</v>
      </c>
      <c r="AK121" s="66">
        <v>0.56089942969846285</v>
      </c>
      <c r="AL121" s="70">
        <v>0</v>
      </c>
      <c r="AM121" s="66">
        <v>0</v>
      </c>
      <c r="AN121" s="66">
        <v>0</v>
      </c>
      <c r="AO121" s="66">
        <v>0</v>
      </c>
      <c r="AP121" s="66">
        <v>56.577219251071178</v>
      </c>
      <c r="AQ121" s="71">
        <v>0.89174025419612302</v>
      </c>
      <c r="AR121" s="71">
        <v>35.449074929289679</v>
      </c>
      <c r="AS121" s="111"/>
      <c r="AT121">
        <f t="shared" si="3"/>
        <v>1</v>
      </c>
      <c r="AU121" t="str">
        <f t="shared" si="2"/>
        <v>Kyrgyzstan</v>
      </c>
    </row>
    <row r="122" spans="1:47">
      <c r="A122">
        <v>228</v>
      </c>
      <c r="B122" s="72" t="s">
        <v>382</v>
      </c>
      <c r="C122" s="73" t="s">
        <v>101</v>
      </c>
      <c r="D122" s="73">
        <v>2015</v>
      </c>
      <c r="E122" s="59">
        <v>72.594286825893462</v>
      </c>
      <c r="F122" s="60">
        <v>2.6374605702679901</v>
      </c>
      <c r="G122" s="60">
        <v>2.6997633749514152</v>
      </c>
      <c r="H122" s="61">
        <v>22.06848922888712</v>
      </c>
      <c r="I122" s="62">
        <v>2.974898099899292</v>
      </c>
      <c r="J122" s="63">
        <v>-2.660804271697998</v>
      </c>
      <c r="K122" s="64">
        <v>59.679700810815319</v>
      </c>
      <c r="L122" s="60">
        <v>1.7468054551980261</v>
      </c>
      <c r="M122" s="65">
        <v>3.8692066528574292</v>
      </c>
      <c r="N122" s="61">
        <v>34.704287081129223</v>
      </c>
      <c r="O122" s="63">
        <v>2.8493330478668213</v>
      </c>
      <c r="P122" s="63">
        <v>-2.5716285705566406</v>
      </c>
      <c r="Q122" s="74">
        <v>93.125047097338737</v>
      </c>
      <c r="R122" s="66">
        <v>4.0533655501634893</v>
      </c>
      <c r="S122" s="66">
        <v>0.84065929204007261</v>
      </c>
      <c r="T122" s="67">
        <v>1.9809280604577</v>
      </c>
      <c r="U122" s="68">
        <v>1.7327644824981689</v>
      </c>
      <c r="V122" s="68">
        <v>-1.3259173631668091</v>
      </c>
      <c r="W122" s="69"/>
      <c r="X122" s="70">
        <v>0</v>
      </c>
      <c r="Y122" s="66">
        <v>0</v>
      </c>
      <c r="Z122" s="66">
        <v>0</v>
      </c>
      <c r="AA122" s="66">
        <v>0</v>
      </c>
      <c r="AB122" s="66">
        <v>38.396817928323387</v>
      </c>
      <c r="AC122" s="66">
        <v>32.861179625171303</v>
      </c>
      <c r="AD122" s="66">
        <v>1.336289272398794</v>
      </c>
      <c r="AE122" s="70">
        <v>0</v>
      </c>
      <c r="AF122" s="66">
        <v>0</v>
      </c>
      <c r="AG122" s="66">
        <v>0</v>
      </c>
      <c r="AH122" s="66">
        <v>0</v>
      </c>
      <c r="AI122" s="66">
        <v>42.516047012905183</v>
      </c>
      <c r="AJ122" s="66">
        <v>16.947291613305161</v>
      </c>
      <c r="AK122" s="66">
        <v>0.21636218460497639</v>
      </c>
      <c r="AL122" s="70">
        <v>0</v>
      </c>
      <c r="AM122" s="66">
        <v>0</v>
      </c>
      <c r="AN122" s="66">
        <v>0</v>
      </c>
      <c r="AO122" s="66">
        <v>0</v>
      </c>
      <c r="AP122" s="66">
        <v>32.086157286961821</v>
      </c>
      <c r="AQ122" s="71">
        <v>57.941374127531553</v>
      </c>
      <c r="AR122" s="71">
        <v>3.097515682845366</v>
      </c>
      <c r="AS122" s="111"/>
      <c r="AT122">
        <f t="shared" si="3"/>
        <v>1</v>
      </c>
      <c r="AU122" t="str">
        <f t="shared" si="2"/>
        <v>Lao People's Democratic Republic</v>
      </c>
    </row>
    <row r="123" spans="1:47">
      <c r="A123">
        <v>230</v>
      </c>
      <c r="B123" s="72" t="s">
        <v>383</v>
      </c>
      <c r="C123" s="73" t="s">
        <v>102</v>
      </c>
      <c r="D123" s="73">
        <v>2015</v>
      </c>
      <c r="E123" s="59">
        <v>92.86398229857339</v>
      </c>
      <c r="F123" s="60">
        <v>0.94433344894485693</v>
      </c>
      <c r="G123" s="60">
        <v>6.1916842524817604</v>
      </c>
      <c r="H123" s="61">
        <v>0</v>
      </c>
      <c r="I123" s="62">
        <v>0.4235803484916687</v>
      </c>
      <c r="J123" s="63">
        <v>0</v>
      </c>
      <c r="K123" s="64">
        <v>83.835261661946021</v>
      </c>
      <c r="L123" s="60">
        <v>0.50071831811427614</v>
      </c>
      <c r="M123" s="65">
        <v>15.6640200199397</v>
      </c>
      <c r="N123" s="61">
        <v>0</v>
      </c>
      <c r="O123" s="63">
        <v>0.76003313064575195</v>
      </c>
      <c r="P123" s="63">
        <v>0</v>
      </c>
      <c r="Q123" s="74">
        <v>97.234568059244054</v>
      </c>
      <c r="R123" s="66">
        <v>1.159076827553861</v>
      </c>
      <c r="S123" s="66">
        <v>1.606355113202085</v>
      </c>
      <c r="T123" s="67">
        <v>0</v>
      </c>
      <c r="U123" s="68">
        <v>0.27472633123397827</v>
      </c>
      <c r="V123" s="68">
        <v>0</v>
      </c>
      <c r="W123" s="69"/>
      <c r="X123" s="70">
        <v>78.376012065751496</v>
      </c>
      <c r="Y123" s="66">
        <v>10.06895194341309</v>
      </c>
      <c r="Z123" s="66">
        <v>0</v>
      </c>
      <c r="AA123" s="66">
        <v>68.307060122338399</v>
      </c>
      <c r="AB123" s="66">
        <v>16.031337542862129</v>
      </c>
      <c r="AC123" s="66">
        <v>4.1065663439640554</v>
      </c>
      <c r="AD123" s="66">
        <v>72.726078411747181</v>
      </c>
      <c r="AE123" s="70">
        <v>65.674650978354364</v>
      </c>
      <c r="AF123" s="66">
        <v>14.87415194980651</v>
      </c>
      <c r="AG123" s="66">
        <v>0</v>
      </c>
      <c r="AH123" s="66">
        <v>50.800499028547847</v>
      </c>
      <c r="AI123" s="66">
        <v>25.155733694467308</v>
      </c>
      <c r="AJ123" s="66">
        <v>4.5925702051457167</v>
      </c>
      <c r="AK123" s="66">
        <v>54.086957762333</v>
      </c>
      <c r="AL123" s="70">
        <v>84.509977009291873</v>
      </c>
      <c r="AM123" s="66">
        <v>7.7593279996909157</v>
      </c>
      <c r="AN123" s="66">
        <v>0</v>
      </c>
      <c r="AO123" s="66">
        <v>76.750649009600963</v>
      </c>
      <c r="AP123" s="66">
        <v>11.644833587062809</v>
      </c>
      <c r="AQ123" s="71">
        <v>3.8738224123190221</v>
      </c>
      <c r="AR123" s="71">
        <v>81.71591205986222</v>
      </c>
      <c r="AS123" s="111"/>
      <c r="AT123">
        <f t="shared" si="3"/>
        <v>6.0762499311319863E-2</v>
      </c>
      <c r="AU123" t="str">
        <f t="shared" si="2"/>
        <v>Latvia</v>
      </c>
    </row>
    <row r="124" spans="1:47">
      <c r="A124">
        <v>232</v>
      </c>
      <c r="B124" s="72" t="s">
        <v>384</v>
      </c>
      <c r="C124" s="73" t="s">
        <v>103</v>
      </c>
      <c r="D124" s="73">
        <v>2015</v>
      </c>
      <c r="E124" s="59">
        <v>95.359365384615401</v>
      </c>
      <c r="F124" s="60">
        <v>1.452173076923077</v>
      </c>
      <c r="G124" s="60">
        <v>3.1519230769230639</v>
      </c>
      <c r="H124" s="61">
        <v>3.6538461538460999E-2</v>
      </c>
      <c r="I124" s="62">
        <v>1.3532805442810059</v>
      </c>
      <c r="J124" s="63">
        <v>-5.5555556900799274E-3</v>
      </c>
      <c r="K124" s="64">
        <v>0</v>
      </c>
      <c r="L124" s="60">
        <v>0</v>
      </c>
      <c r="M124" s="65">
        <v>0</v>
      </c>
      <c r="N124" s="61">
        <v>0</v>
      </c>
      <c r="O124" s="63">
        <v>0</v>
      </c>
      <c r="P124" s="63">
        <v>0</v>
      </c>
      <c r="Q124" s="74">
        <v>0</v>
      </c>
      <c r="R124" s="66">
        <v>0</v>
      </c>
      <c r="S124" s="66">
        <v>0</v>
      </c>
      <c r="T124" s="67">
        <v>0</v>
      </c>
      <c r="U124" s="68">
        <v>0</v>
      </c>
      <c r="V124" s="68">
        <v>0</v>
      </c>
      <c r="W124" s="69"/>
      <c r="X124" s="70">
        <v>20.06987825923094</v>
      </c>
      <c r="Y124" s="66">
        <v>8.8024903846156217</v>
      </c>
      <c r="Z124" s="66">
        <v>0</v>
      </c>
      <c r="AA124" s="66">
        <v>11.26738787461532</v>
      </c>
      <c r="AB124" s="66">
        <v>16.915480769231252</v>
      </c>
      <c r="AC124" s="66">
        <v>0.6895</v>
      </c>
      <c r="AD124" s="66">
        <v>77.754384615384154</v>
      </c>
      <c r="AE124" s="70">
        <v>0</v>
      </c>
      <c r="AF124" s="66">
        <v>0</v>
      </c>
      <c r="AG124" s="66">
        <v>0</v>
      </c>
      <c r="AH124" s="66">
        <v>0</v>
      </c>
      <c r="AI124" s="66">
        <v>0</v>
      </c>
      <c r="AJ124" s="66">
        <v>0</v>
      </c>
      <c r="AK124" s="66">
        <v>0</v>
      </c>
      <c r="AL124" s="70">
        <v>0</v>
      </c>
      <c r="AM124" s="66">
        <v>0</v>
      </c>
      <c r="AN124" s="66">
        <v>0</v>
      </c>
      <c r="AO124" s="66">
        <v>0</v>
      </c>
      <c r="AP124" s="66">
        <v>0</v>
      </c>
      <c r="AQ124" s="71">
        <v>0</v>
      </c>
      <c r="AR124" s="71">
        <v>0</v>
      </c>
      <c r="AS124" s="111"/>
      <c r="AT124">
        <f t="shared" si="3"/>
        <v>0.85508999999999991</v>
      </c>
      <c r="AU124" t="str">
        <f t="shared" si="2"/>
        <v>Lebanon</v>
      </c>
    </row>
    <row r="125" spans="1:47">
      <c r="A125">
        <v>234</v>
      </c>
      <c r="B125" s="72" t="s">
        <v>385</v>
      </c>
      <c r="C125" s="73" t="s">
        <v>104</v>
      </c>
      <c r="D125" s="73">
        <v>2015</v>
      </c>
      <c r="E125" s="59">
        <v>43.791106081736693</v>
      </c>
      <c r="F125" s="60">
        <v>17.217300203953322</v>
      </c>
      <c r="G125" s="60">
        <v>8.9477852235409383</v>
      </c>
      <c r="H125" s="61">
        <v>30.043808490769049</v>
      </c>
      <c r="I125" s="62">
        <v>2.4381327629089355</v>
      </c>
      <c r="J125" s="63">
        <v>-1.0474989414215088</v>
      </c>
      <c r="K125" s="64">
        <v>43.058365105407837</v>
      </c>
      <c r="L125" s="60">
        <v>7.3566832586763731</v>
      </c>
      <c r="M125" s="65">
        <v>9.6634596801961834</v>
      </c>
      <c r="N125" s="61">
        <v>39.921491955719603</v>
      </c>
      <c r="O125" s="63">
        <v>2.5725834369659424</v>
      </c>
      <c r="P125" s="63">
        <v>-0.96463042497634888</v>
      </c>
      <c r="Q125" s="74">
        <v>45.741218709423869</v>
      </c>
      <c r="R125" s="66">
        <v>43.460289531658717</v>
      </c>
      <c r="S125" s="66">
        <v>7.0430933333331041</v>
      </c>
      <c r="T125" s="67">
        <v>3.7553984255843029</v>
      </c>
      <c r="U125" s="68">
        <v>1.813748836517334</v>
      </c>
      <c r="V125" s="68">
        <v>-0.43093332648277283</v>
      </c>
      <c r="W125" s="69"/>
      <c r="X125" s="70">
        <v>0</v>
      </c>
      <c r="Y125" s="66">
        <v>0</v>
      </c>
      <c r="Z125" s="66">
        <v>0</v>
      </c>
      <c r="AA125" s="66">
        <v>0</v>
      </c>
      <c r="AB125" s="66">
        <v>41.926032403970517</v>
      </c>
      <c r="AC125" s="66">
        <v>0.67575874817259296</v>
      </c>
      <c r="AD125" s="66">
        <v>1.1893149295935881</v>
      </c>
      <c r="AE125" s="70">
        <v>0</v>
      </c>
      <c r="AF125" s="66">
        <v>0</v>
      </c>
      <c r="AG125" s="66">
        <v>0</v>
      </c>
      <c r="AH125" s="66">
        <v>0</v>
      </c>
      <c r="AI125" s="66">
        <v>42.598969347233123</v>
      </c>
      <c r="AJ125" s="66">
        <v>0.208459549895503</v>
      </c>
      <c r="AK125" s="66">
        <v>0.25093620827921781</v>
      </c>
      <c r="AL125" s="70">
        <v>0</v>
      </c>
      <c r="AM125" s="66">
        <v>0</v>
      </c>
      <c r="AN125" s="66">
        <v>0</v>
      </c>
      <c r="AO125" s="66">
        <v>0</v>
      </c>
      <c r="AP125" s="66">
        <v>41.596834265922922</v>
      </c>
      <c r="AQ125" s="71">
        <v>1.434477629293617</v>
      </c>
      <c r="AR125" s="71">
        <v>2.7099068142073302</v>
      </c>
      <c r="AS125" s="111"/>
      <c r="AT125">
        <f t="shared" si="3"/>
        <v>1</v>
      </c>
      <c r="AU125" t="str">
        <f t="shared" si="2"/>
        <v>Lesotho</v>
      </c>
    </row>
    <row r="126" spans="1:47">
      <c r="A126">
        <v>236</v>
      </c>
      <c r="B126" s="72" t="s">
        <v>386</v>
      </c>
      <c r="C126" s="73" t="s">
        <v>105</v>
      </c>
      <c r="D126" s="73">
        <v>2015</v>
      </c>
      <c r="E126" s="59">
        <v>16.88947781001416</v>
      </c>
      <c r="F126" s="60">
        <v>24.967674396449109</v>
      </c>
      <c r="G126" s="60">
        <v>15.88490044804638</v>
      </c>
      <c r="H126" s="61">
        <v>42.257947345490358</v>
      </c>
      <c r="I126" s="62">
        <v>0.25174137949943542</v>
      </c>
      <c r="J126" s="63">
        <v>-0.81991678476333618</v>
      </c>
      <c r="K126" s="64">
        <v>5.9036588743850213</v>
      </c>
      <c r="L126" s="60">
        <v>18.971685401229891</v>
      </c>
      <c r="M126" s="65">
        <v>13.84675955449416</v>
      </c>
      <c r="N126" s="61">
        <v>61.277896169890937</v>
      </c>
      <c r="O126" s="63">
        <v>0.13803164660930634</v>
      </c>
      <c r="P126" s="63">
        <v>-1.0605779886245728</v>
      </c>
      <c r="Q126" s="74">
        <v>28.00747758151191</v>
      </c>
      <c r="R126" s="66">
        <v>31.035806837859369</v>
      </c>
      <c r="S126" s="66">
        <v>17.947564153098259</v>
      </c>
      <c r="T126" s="67">
        <v>23.009151427530469</v>
      </c>
      <c r="U126" s="68">
        <v>0.21603140234947205</v>
      </c>
      <c r="V126" s="68">
        <v>-0.2086610347032547</v>
      </c>
      <c r="W126" s="69"/>
      <c r="X126" s="70">
        <v>0</v>
      </c>
      <c r="Y126" s="66">
        <v>0</v>
      </c>
      <c r="Z126" s="66">
        <v>0</v>
      </c>
      <c r="AA126" s="66">
        <v>0</v>
      </c>
      <c r="AB126" s="66">
        <v>10.56638819100432</v>
      </c>
      <c r="AC126" s="66">
        <v>5.9912026382819139</v>
      </c>
      <c r="AD126" s="66">
        <v>0.33188698072791317</v>
      </c>
      <c r="AE126" s="70">
        <v>0</v>
      </c>
      <c r="AF126" s="66">
        <v>0</v>
      </c>
      <c r="AG126" s="66">
        <v>0</v>
      </c>
      <c r="AH126" s="66">
        <v>0</v>
      </c>
      <c r="AI126" s="66">
        <v>5.4554653916549762</v>
      </c>
      <c r="AJ126" s="66">
        <v>0.41011992202369418</v>
      </c>
      <c r="AK126" s="66">
        <v>3.8073560706349999E-2</v>
      </c>
      <c r="AL126" s="70">
        <v>0</v>
      </c>
      <c r="AM126" s="66">
        <v>0</v>
      </c>
      <c r="AN126" s="66">
        <v>0</v>
      </c>
      <c r="AO126" s="66">
        <v>0</v>
      </c>
      <c r="AP126" s="66">
        <v>13.95787171860967</v>
      </c>
      <c r="AQ126" s="71">
        <v>13.341597380276671</v>
      </c>
      <c r="AR126" s="71">
        <v>0.70800848262556582</v>
      </c>
      <c r="AS126" s="111"/>
      <c r="AT126">
        <f t="shared" si="3"/>
        <v>1</v>
      </c>
      <c r="AU126" t="str">
        <f t="shared" si="2"/>
        <v>Liberia</v>
      </c>
    </row>
    <row r="127" spans="1:47">
      <c r="A127">
        <v>238</v>
      </c>
      <c r="B127" s="72" t="s">
        <v>387</v>
      </c>
      <c r="C127" s="73" t="s">
        <v>106</v>
      </c>
      <c r="D127" s="73">
        <v>2015</v>
      </c>
      <c r="E127" s="59">
        <v>99.7</v>
      </c>
      <c r="F127" s="60">
        <v>0</v>
      </c>
      <c r="G127" s="60">
        <v>0.29999999999999721</v>
      </c>
      <c r="H127" s="61">
        <v>0</v>
      </c>
      <c r="I127" s="62">
        <v>0</v>
      </c>
      <c r="J127" s="63">
        <v>0</v>
      </c>
      <c r="K127" s="64">
        <v>0</v>
      </c>
      <c r="L127" s="60">
        <v>0</v>
      </c>
      <c r="M127" s="65">
        <v>0</v>
      </c>
      <c r="N127" s="61">
        <v>0</v>
      </c>
      <c r="O127" s="63">
        <v>0</v>
      </c>
      <c r="P127" s="63">
        <v>0</v>
      </c>
      <c r="Q127" s="74">
        <v>0</v>
      </c>
      <c r="R127" s="66">
        <v>0</v>
      </c>
      <c r="S127" s="66">
        <v>0</v>
      </c>
      <c r="T127" s="67">
        <v>0</v>
      </c>
      <c r="U127" s="68">
        <v>0</v>
      </c>
      <c r="V127" s="68">
        <v>0</v>
      </c>
      <c r="W127" s="69"/>
      <c r="X127" s="70">
        <v>26.25254360752135</v>
      </c>
      <c r="Y127" s="66">
        <v>15.614285714285741</v>
      </c>
      <c r="Z127" s="66">
        <v>0</v>
      </c>
      <c r="AA127" s="66">
        <v>10.63825789323562</v>
      </c>
      <c r="AB127" s="66">
        <v>22.92857142857147</v>
      </c>
      <c r="AC127" s="66">
        <v>8.3000000000000007</v>
      </c>
      <c r="AD127" s="66">
        <v>68.471428571428532</v>
      </c>
      <c r="AE127" s="70">
        <v>0</v>
      </c>
      <c r="AF127" s="66">
        <v>0</v>
      </c>
      <c r="AG127" s="66">
        <v>0</v>
      </c>
      <c r="AH127" s="66">
        <v>0</v>
      </c>
      <c r="AI127" s="66">
        <v>0</v>
      </c>
      <c r="AJ127" s="66">
        <v>0</v>
      </c>
      <c r="AK127" s="66">
        <v>0</v>
      </c>
      <c r="AL127" s="70">
        <v>0</v>
      </c>
      <c r="AM127" s="66">
        <v>0</v>
      </c>
      <c r="AN127" s="66">
        <v>0</v>
      </c>
      <c r="AO127" s="66">
        <v>0</v>
      </c>
      <c r="AP127" s="66">
        <v>0</v>
      </c>
      <c r="AQ127" s="71">
        <v>0</v>
      </c>
      <c r="AR127" s="71">
        <v>0</v>
      </c>
      <c r="AS127" s="111"/>
      <c r="AT127">
        <f t="shared" si="3"/>
        <v>0.84463216095837812</v>
      </c>
      <c r="AU127" t="str">
        <f t="shared" si="2"/>
        <v>Libya</v>
      </c>
    </row>
    <row r="128" spans="1:47">
      <c r="A128">
        <v>240</v>
      </c>
      <c r="B128" s="72" t="s">
        <v>388</v>
      </c>
      <c r="C128" s="73" t="s">
        <v>107</v>
      </c>
      <c r="D128" s="73">
        <v>2015</v>
      </c>
      <c r="E128" s="59">
        <v>99.95</v>
      </c>
      <c r="F128" s="60">
        <v>0</v>
      </c>
      <c r="G128" s="60">
        <v>4.9999999999997199E-2</v>
      </c>
      <c r="H128" s="61">
        <v>0</v>
      </c>
      <c r="I128" s="62">
        <v>0</v>
      </c>
      <c r="J128" s="63">
        <v>0</v>
      </c>
      <c r="K128" s="64">
        <v>0</v>
      </c>
      <c r="L128" s="60">
        <v>0</v>
      </c>
      <c r="M128" s="65">
        <v>0</v>
      </c>
      <c r="N128" s="61">
        <v>0</v>
      </c>
      <c r="O128" s="63">
        <v>0</v>
      </c>
      <c r="P128" s="63">
        <v>0</v>
      </c>
      <c r="Q128" s="74">
        <v>0</v>
      </c>
      <c r="R128" s="66">
        <v>0</v>
      </c>
      <c r="S128" s="66">
        <v>0</v>
      </c>
      <c r="T128" s="67">
        <v>0</v>
      </c>
      <c r="U128" s="68">
        <v>0</v>
      </c>
      <c r="V128" s="68">
        <v>0</v>
      </c>
      <c r="W128" s="69"/>
      <c r="X128" s="70">
        <v>99.325000000000003</v>
      </c>
      <c r="Y128" s="66">
        <v>0.625</v>
      </c>
      <c r="Z128" s="66">
        <v>0</v>
      </c>
      <c r="AA128" s="66">
        <v>98.7</v>
      </c>
      <c r="AB128" s="66">
        <v>0.05</v>
      </c>
      <c r="AC128" s="66">
        <v>1.2</v>
      </c>
      <c r="AD128" s="66">
        <v>98.7</v>
      </c>
      <c r="AE128" s="70">
        <v>0</v>
      </c>
      <c r="AF128" s="66">
        <v>0</v>
      </c>
      <c r="AG128" s="66">
        <v>0</v>
      </c>
      <c r="AH128" s="66">
        <v>0</v>
      </c>
      <c r="AI128" s="66">
        <v>0</v>
      </c>
      <c r="AJ128" s="66">
        <v>0</v>
      </c>
      <c r="AK128" s="66">
        <v>0</v>
      </c>
      <c r="AL128" s="70">
        <v>0</v>
      </c>
      <c r="AM128" s="66">
        <v>0</v>
      </c>
      <c r="AN128" s="66">
        <v>0</v>
      </c>
      <c r="AO128" s="66">
        <v>0</v>
      </c>
      <c r="AP128" s="66">
        <v>0</v>
      </c>
      <c r="AQ128" s="71">
        <v>0</v>
      </c>
      <c r="AR128" s="71">
        <v>0</v>
      </c>
      <c r="AS128" s="111"/>
      <c r="AT128">
        <f t="shared" si="3"/>
        <v>0</v>
      </c>
      <c r="AU128" t="str">
        <f t="shared" si="2"/>
        <v>Liechtenstein</v>
      </c>
    </row>
    <row r="129" spans="1:47">
      <c r="A129">
        <v>242</v>
      </c>
      <c r="B129" s="72" t="s">
        <v>389</v>
      </c>
      <c r="C129" s="73" t="s">
        <v>108</v>
      </c>
      <c r="D129" s="73">
        <v>2015</v>
      </c>
      <c r="E129" s="59">
        <v>93.621840870164192</v>
      </c>
      <c r="F129" s="60">
        <v>2.116549207221182</v>
      </c>
      <c r="G129" s="60">
        <v>4.2616099226146318</v>
      </c>
      <c r="H129" s="61">
        <v>0</v>
      </c>
      <c r="I129" s="62">
        <v>0.58346772193908691</v>
      </c>
      <c r="J129" s="63">
        <v>0</v>
      </c>
      <c r="K129" s="64">
        <v>86.037250292684377</v>
      </c>
      <c r="L129" s="60">
        <v>2.4317172610171651</v>
      </c>
      <c r="M129" s="65">
        <v>11.53103244629847</v>
      </c>
      <c r="N129" s="61">
        <v>0</v>
      </c>
      <c r="O129" s="63">
        <v>1.1782834529876709</v>
      </c>
      <c r="P129" s="63">
        <v>0</v>
      </c>
      <c r="Q129" s="74">
        <v>97.441277744238803</v>
      </c>
      <c r="R129" s="66">
        <v>1.957837346125749</v>
      </c>
      <c r="S129" s="66">
        <v>0.60088490963545382</v>
      </c>
      <c r="T129" s="67">
        <v>0</v>
      </c>
      <c r="U129" s="68">
        <v>0.2957383394241333</v>
      </c>
      <c r="V129" s="68">
        <v>0</v>
      </c>
      <c r="W129" s="69"/>
      <c r="X129" s="70">
        <v>61.202048471900973</v>
      </c>
      <c r="Y129" s="66">
        <v>1.2820549393376359</v>
      </c>
      <c r="Z129" s="66">
        <v>0</v>
      </c>
      <c r="AA129" s="66">
        <v>59.919993532563332</v>
      </c>
      <c r="AB129" s="66">
        <v>0</v>
      </c>
      <c r="AC129" s="66">
        <v>2.564109878675255</v>
      </c>
      <c r="AD129" s="66">
        <v>91.057730991488924</v>
      </c>
      <c r="AE129" s="70">
        <v>55.412984826345607</v>
      </c>
      <c r="AF129" s="66">
        <v>3.8068876555060061</v>
      </c>
      <c r="AG129" s="66">
        <v>0</v>
      </c>
      <c r="AH129" s="66">
        <v>51.606097170839597</v>
      </c>
      <c r="AI129" s="66">
        <v>0</v>
      </c>
      <c r="AJ129" s="66">
        <v>7.6137753110120112</v>
      </c>
      <c r="AK129" s="66">
        <v>78.423474981672356</v>
      </c>
      <c r="AL129" s="70">
        <v>64.120648171929872</v>
      </c>
      <c r="AM129" s="66">
        <v>0</v>
      </c>
      <c r="AN129" s="66">
        <v>0</v>
      </c>
      <c r="AO129" s="66">
        <v>64.120648171929872</v>
      </c>
      <c r="AP129" s="66">
        <v>0</v>
      </c>
      <c r="AQ129" s="71">
        <v>0</v>
      </c>
      <c r="AR129" s="71">
        <v>97.441277744238803</v>
      </c>
      <c r="AS129" s="111"/>
      <c r="AT129">
        <f t="shared" si="3"/>
        <v>0.34195600000000004</v>
      </c>
      <c r="AU129" t="str">
        <f t="shared" si="2"/>
        <v>Lithuania</v>
      </c>
    </row>
    <row r="130" spans="1:47">
      <c r="A130">
        <v>244</v>
      </c>
      <c r="B130" s="72" t="s">
        <v>390</v>
      </c>
      <c r="C130" s="73" t="s">
        <v>109</v>
      </c>
      <c r="D130" s="73">
        <v>2015</v>
      </c>
      <c r="E130" s="59">
        <v>97.610982608904933</v>
      </c>
      <c r="F130" s="60">
        <v>2.362857318892901</v>
      </c>
      <c r="G130" s="60">
        <v>2.61600722021595E-2</v>
      </c>
      <c r="H130" s="61">
        <v>0</v>
      </c>
      <c r="I130" s="62">
        <v>-6.6919303499162197E-3</v>
      </c>
      <c r="J130" s="63">
        <v>0</v>
      </c>
      <c r="K130" s="64">
        <v>98.760101283594054</v>
      </c>
      <c r="L130" s="60">
        <v>1.109664059366225</v>
      </c>
      <c r="M130" s="65">
        <v>0.13023465703970771</v>
      </c>
      <c r="N130" s="61">
        <v>0</v>
      </c>
      <c r="O130" s="63">
        <v>-5.265743937343359E-3</v>
      </c>
      <c r="P130" s="63">
        <v>0</v>
      </c>
      <c r="Q130" s="74">
        <v>97.48556859205776</v>
      </c>
      <c r="R130" s="66">
        <v>2.4996299638989168</v>
      </c>
      <c r="S130" s="66">
        <v>1.4801444043314399E-2</v>
      </c>
      <c r="T130" s="67">
        <v>0</v>
      </c>
      <c r="U130" s="68">
        <v>-9.6209387993440032E-4</v>
      </c>
      <c r="V130" s="68">
        <v>0</v>
      </c>
      <c r="W130" s="69"/>
      <c r="X130" s="70">
        <v>93.686387142708952</v>
      </c>
      <c r="Y130" s="66">
        <v>0.91877317192907371</v>
      </c>
      <c r="Z130" s="66">
        <v>0</v>
      </c>
      <c r="AA130" s="66">
        <v>92.767613970779877</v>
      </c>
      <c r="AB130" s="66">
        <v>1.837546343858147</v>
      </c>
      <c r="AC130" s="66">
        <v>0</v>
      </c>
      <c r="AD130" s="66">
        <v>95.773436265046783</v>
      </c>
      <c r="AE130" s="70">
        <v>86.840559215603406</v>
      </c>
      <c r="AF130" s="66">
        <v>9.4106876941493933</v>
      </c>
      <c r="AG130" s="66">
        <v>0</v>
      </c>
      <c r="AH130" s="66">
        <v>77.429871521454018</v>
      </c>
      <c r="AI130" s="66">
        <v>0.1678790613718418</v>
      </c>
      <c r="AJ130" s="66">
        <v>18.653496326926948</v>
      </c>
      <c r="AK130" s="66">
        <v>79.938725895295278</v>
      </c>
      <c r="AL130" s="70">
        <v>94.421351788240301</v>
      </c>
      <c r="AM130" s="66">
        <v>4.9717960288870001E-3</v>
      </c>
      <c r="AN130" s="66">
        <v>0</v>
      </c>
      <c r="AO130" s="66">
        <v>94.416379992211418</v>
      </c>
      <c r="AP130" s="66">
        <v>9.9435920577740002E-3</v>
      </c>
      <c r="AQ130" s="71">
        <v>0</v>
      </c>
      <c r="AR130" s="71">
        <v>97.475624999999994</v>
      </c>
      <c r="AS130" s="111"/>
      <c r="AT130">
        <f t="shared" si="3"/>
        <v>3.1384718054268068E-2</v>
      </c>
      <c r="AU130" t="str">
        <f t="shared" si="2"/>
        <v>Luxembourg</v>
      </c>
    </row>
    <row r="131" spans="1:47">
      <c r="A131">
        <v>246</v>
      </c>
      <c r="B131" s="72" t="s">
        <v>391</v>
      </c>
      <c r="C131" s="73" t="s">
        <v>110</v>
      </c>
      <c r="D131" s="73">
        <v>2015</v>
      </c>
      <c r="E131" s="59">
        <v>9.6936681401137914</v>
      </c>
      <c r="F131" s="60">
        <v>14.49436389655394</v>
      </c>
      <c r="G131" s="60">
        <v>31.88482127479541</v>
      </c>
      <c r="H131" s="61">
        <v>43.927146688536851</v>
      </c>
      <c r="I131" s="62">
        <v>0.34037062525749207</v>
      </c>
      <c r="J131" s="63">
        <v>0.41008594632148743</v>
      </c>
      <c r="K131" s="64">
        <v>6.1796364346915631</v>
      </c>
      <c r="L131" s="60">
        <v>9.2272544327558084</v>
      </c>
      <c r="M131" s="65">
        <v>29.19724991707767</v>
      </c>
      <c r="N131" s="61">
        <v>55.395859215474957</v>
      </c>
      <c r="O131" s="63">
        <v>0.24126535654067993</v>
      </c>
      <c r="P131" s="63">
        <v>0.66537702083587646</v>
      </c>
      <c r="Q131" s="74">
        <v>16.189696840395101</v>
      </c>
      <c r="R131" s="66">
        <v>24.231126997342439</v>
      </c>
      <c r="S131" s="66">
        <v>36.853057801190289</v>
      </c>
      <c r="T131" s="67">
        <v>22.726118361072171</v>
      </c>
      <c r="U131" s="68">
        <v>0.41023051738739014</v>
      </c>
      <c r="V131" s="68">
        <v>0.36523711681365967</v>
      </c>
      <c r="W131" s="69"/>
      <c r="X131" s="70">
        <v>0</v>
      </c>
      <c r="Y131" s="66">
        <v>0</v>
      </c>
      <c r="Z131" s="66">
        <v>0</v>
      </c>
      <c r="AA131" s="66">
        <v>0</v>
      </c>
      <c r="AB131" s="66">
        <v>7.1212313176751953</v>
      </c>
      <c r="AC131" s="66">
        <v>2.095140455946694</v>
      </c>
      <c r="AD131" s="66">
        <v>0.47729636649190732</v>
      </c>
      <c r="AE131" s="70">
        <v>0</v>
      </c>
      <c r="AF131" s="66">
        <v>0</v>
      </c>
      <c r="AG131" s="66">
        <v>0</v>
      </c>
      <c r="AH131" s="66">
        <v>0</v>
      </c>
      <c r="AI131" s="66">
        <v>5.5103622649712598</v>
      </c>
      <c r="AJ131" s="66">
        <v>0.40004339370989001</v>
      </c>
      <c r="AK131" s="66">
        <v>0.26923077601041318</v>
      </c>
      <c r="AL131" s="70">
        <v>0</v>
      </c>
      <c r="AM131" s="66">
        <v>0</v>
      </c>
      <c r="AN131" s="66">
        <v>0</v>
      </c>
      <c r="AO131" s="66">
        <v>0</v>
      </c>
      <c r="AP131" s="66">
        <v>10.101615601907129</v>
      </c>
      <c r="AQ131" s="71">
        <v>5.2262470040109994</v>
      </c>
      <c r="AR131" s="71">
        <v>0.86183423447697372</v>
      </c>
      <c r="AS131" s="111"/>
      <c r="AT131">
        <f t="shared" si="3"/>
        <v>1</v>
      </c>
      <c r="AU131" t="str">
        <f t="shared" si="2"/>
        <v>Madagascar</v>
      </c>
    </row>
    <row r="132" spans="1:47">
      <c r="A132">
        <v>248</v>
      </c>
      <c r="B132" s="72" t="s">
        <v>392</v>
      </c>
      <c r="C132" s="73" t="s">
        <v>111</v>
      </c>
      <c r="D132" s="73">
        <v>2015</v>
      </c>
      <c r="E132" s="59">
        <v>43.529605445821268</v>
      </c>
      <c r="F132" s="60">
        <v>23.21115126959285</v>
      </c>
      <c r="G132" s="60">
        <v>26.790426435949339</v>
      </c>
      <c r="H132" s="61">
        <v>6.4688168486365374</v>
      </c>
      <c r="I132" s="62">
        <v>0.60268551111221313</v>
      </c>
      <c r="J132" s="63">
        <v>-0.61693739891052246</v>
      </c>
      <c r="K132" s="64">
        <v>42.562417889746122</v>
      </c>
      <c r="L132" s="60">
        <v>20.379333236693491</v>
      </c>
      <c r="M132" s="65">
        <v>29.645859683368599</v>
      </c>
      <c r="N132" s="61">
        <v>7.4123891901917887</v>
      </c>
      <c r="O132" s="63">
        <v>0.66608679294586182</v>
      </c>
      <c r="P132" s="63">
        <v>-0.70602697134017944</v>
      </c>
      <c r="Q132" s="74">
        <v>48.506294217641589</v>
      </c>
      <c r="R132" s="66">
        <v>37.782344746645272</v>
      </c>
      <c r="S132" s="66">
        <v>12.09772025724242</v>
      </c>
      <c r="T132" s="67">
        <v>1.613640778470725</v>
      </c>
      <c r="U132" s="68">
        <v>0.18705135583877563</v>
      </c>
      <c r="V132" s="68">
        <v>-5.2265066653490067E-2</v>
      </c>
      <c r="W132" s="69"/>
      <c r="X132" s="70">
        <v>0</v>
      </c>
      <c r="Y132" s="66">
        <v>0</v>
      </c>
      <c r="Z132" s="66">
        <v>0</v>
      </c>
      <c r="AA132" s="66">
        <v>0</v>
      </c>
      <c r="AB132" s="66">
        <v>39.898919586910331</v>
      </c>
      <c r="AC132" s="66">
        <v>2.0873329417787549</v>
      </c>
      <c r="AD132" s="66">
        <v>1.543352917132186</v>
      </c>
      <c r="AE132" s="70">
        <v>0</v>
      </c>
      <c r="AF132" s="66">
        <v>0</v>
      </c>
      <c r="AG132" s="66">
        <v>0</v>
      </c>
      <c r="AH132" s="66">
        <v>0</v>
      </c>
      <c r="AI132" s="66">
        <v>41.133249229332868</v>
      </c>
      <c r="AJ132" s="66">
        <v>0.6125447135783415</v>
      </c>
      <c r="AK132" s="66">
        <v>0.81662394683491302</v>
      </c>
      <c r="AL132" s="70">
        <v>0</v>
      </c>
      <c r="AM132" s="66">
        <v>0</v>
      </c>
      <c r="AN132" s="66">
        <v>0</v>
      </c>
      <c r="AO132" s="66">
        <v>0</v>
      </c>
      <c r="AP132" s="66">
        <v>35.388661905146982</v>
      </c>
      <c r="AQ132" s="71">
        <v>8.4359520041213276</v>
      </c>
      <c r="AR132" s="71">
        <v>4.681680308373279</v>
      </c>
      <c r="AS132" s="111"/>
      <c r="AT132">
        <f t="shared" si="3"/>
        <v>1</v>
      </c>
      <c r="AU132" t="str">
        <f t="shared" si="2"/>
        <v>Malawi</v>
      </c>
    </row>
    <row r="133" spans="1:47">
      <c r="A133">
        <v>250</v>
      </c>
      <c r="B133" s="72" t="s">
        <v>393</v>
      </c>
      <c r="C133" s="73" t="s">
        <v>112</v>
      </c>
      <c r="D133" s="73">
        <v>2015</v>
      </c>
      <c r="E133" s="59">
        <v>99.574006734845369</v>
      </c>
      <c r="F133" s="60">
        <v>3.9721858029746301E-2</v>
      </c>
      <c r="G133" s="60">
        <v>3.75267883121468E-2</v>
      </c>
      <c r="H133" s="61">
        <v>0.34874461881275609</v>
      </c>
      <c r="I133" s="62">
        <v>0.18611614406108856</v>
      </c>
      <c r="J133" s="63">
        <v>-8.3761610090732574E-2</v>
      </c>
      <c r="K133" s="64">
        <v>98.835602704408061</v>
      </c>
      <c r="L133" s="60">
        <v>4.0731754669032803E-2</v>
      </c>
      <c r="M133" s="65">
        <v>0</v>
      </c>
      <c r="N133" s="61">
        <v>1.1236655409229099</v>
      </c>
      <c r="O133" s="63">
        <v>0.29683959484100342</v>
      </c>
      <c r="P133" s="63">
        <v>-0.15559984743595123</v>
      </c>
      <c r="Q133" s="74">
        <v>99.824029222629463</v>
      </c>
      <c r="R133" s="66">
        <v>3.9379908555270002E-2</v>
      </c>
      <c r="S133" s="66">
        <v>5.0233302071006798E-2</v>
      </c>
      <c r="T133" s="67">
        <v>8.6357566744268893E-2</v>
      </c>
      <c r="U133" s="68">
        <v>0.1046544685959816</v>
      </c>
      <c r="V133" s="68">
        <v>-2.5486836209893227E-2</v>
      </c>
      <c r="W133" s="69"/>
      <c r="X133" s="70">
        <v>81.926287271120287</v>
      </c>
      <c r="Y133" s="66">
        <v>48.750795555062602</v>
      </c>
      <c r="Z133" s="66">
        <v>0</v>
      </c>
      <c r="AA133" s="66">
        <v>33.175491716057699</v>
      </c>
      <c r="AB133" s="66">
        <v>28.677958440659499</v>
      </c>
      <c r="AC133" s="66">
        <v>36.374204677060249</v>
      </c>
      <c r="AD133" s="66">
        <v>34.521843617125597</v>
      </c>
      <c r="AE133" s="70">
        <v>0</v>
      </c>
      <c r="AF133" s="66">
        <v>0</v>
      </c>
      <c r="AG133" s="66">
        <v>0</v>
      </c>
      <c r="AH133" s="66">
        <v>11.431189021627191</v>
      </c>
      <c r="AI133" s="66">
        <v>59.751709810484272</v>
      </c>
      <c r="AJ133" s="66">
        <v>27.18879505664264</v>
      </c>
      <c r="AK133" s="66">
        <v>11.895097837281151</v>
      </c>
      <c r="AL133" s="70">
        <v>0</v>
      </c>
      <c r="AM133" s="66">
        <v>0</v>
      </c>
      <c r="AN133" s="66">
        <v>0</v>
      </c>
      <c r="AO133" s="66">
        <v>40.538207949443887</v>
      </c>
      <c r="AP133" s="66">
        <v>18.156246613933799</v>
      </c>
      <c r="AQ133" s="71">
        <v>39.484423660262898</v>
      </c>
      <c r="AR133" s="71">
        <v>42.183358948432769</v>
      </c>
      <c r="AS133" s="111"/>
      <c r="AT133">
        <f t="shared" si="3"/>
        <v>3.8999999999999986E-2</v>
      </c>
      <c r="AU133" t="str">
        <f t="shared" si="2"/>
        <v>Malaysia</v>
      </c>
    </row>
    <row r="134" spans="1:47">
      <c r="A134">
        <v>252</v>
      </c>
      <c r="B134" s="72" t="s">
        <v>394</v>
      </c>
      <c r="C134" s="73" t="s">
        <v>113</v>
      </c>
      <c r="D134" s="73">
        <v>2015</v>
      </c>
      <c r="E134" s="59">
        <v>95.868818063317406</v>
      </c>
      <c r="F134" s="60">
        <v>1.916645446886639</v>
      </c>
      <c r="G134" s="60">
        <v>2.1940917551020829</v>
      </c>
      <c r="H134" s="61">
        <v>2.04447346938776E-2</v>
      </c>
      <c r="I134" s="62">
        <v>1.1836363077163696</v>
      </c>
      <c r="J134" s="63">
        <v>-1.1711980104446411</v>
      </c>
      <c r="K134" s="64">
        <v>98.314014752370909</v>
      </c>
      <c r="L134" s="60">
        <v>1.685985247629096</v>
      </c>
      <c r="M134" s="65">
        <v>0</v>
      </c>
      <c r="N134" s="61">
        <v>0</v>
      </c>
      <c r="O134" s="63">
        <v>1.789983868598938</v>
      </c>
      <c r="P134" s="63">
        <v>-1.6213605403900146</v>
      </c>
      <c r="Q134" s="74">
        <v>92.944204736002561</v>
      </c>
      <c r="R134" s="66">
        <v>2.1925299578749291</v>
      </c>
      <c r="S134" s="66">
        <v>4.8183673469388406</v>
      </c>
      <c r="T134" s="67">
        <v>4.4897959183673598E-2</v>
      </c>
      <c r="U134" s="68">
        <v>-0.1681424081325531</v>
      </c>
      <c r="V134" s="68">
        <v>1.4965985901653767E-3</v>
      </c>
      <c r="W134" s="69"/>
      <c r="X134" s="70">
        <v>0</v>
      </c>
      <c r="Y134" s="66">
        <v>0</v>
      </c>
      <c r="Z134" s="66">
        <v>0</v>
      </c>
      <c r="AA134" s="66">
        <v>0</v>
      </c>
      <c r="AB134" s="66">
        <v>12.80371250957357</v>
      </c>
      <c r="AC134" s="66">
        <v>29.18887027647482</v>
      </c>
      <c r="AD134" s="66">
        <v>53.876235277269011</v>
      </c>
      <c r="AE134" s="70">
        <v>0</v>
      </c>
      <c r="AF134" s="66">
        <v>0</v>
      </c>
      <c r="AG134" s="66">
        <v>0</v>
      </c>
      <c r="AH134" s="66">
        <v>0</v>
      </c>
      <c r="AI134" s="66">
        <v>23.57429625169345</v>
      </c>
      <c r="AJ134" s="66">
        <v>52.991253951527924</v>
      </c>
      <c r="AK134" s="66">
        <v>21.748464549149521</v>
      </c>
      <c r="AL134" s="70">
        <v>0</v>
      </c>
      <c r="AM134" s="66">
        <v>0</v>
      </c>
      <c r="AN134" s="66">
        <v>0</v>
      </c>
      <c r="AO134" s="66">
        <v>0</v>
      </c>
      <c r="AP134" s="66">
        <v>0</v>
      </c>
      <c r="AQ134" s="71">
        <v>0.89321500143143118</v>
      </c>
      <c r="AR134" s="71">
        <v>92.050989734571132</v>
      </c>
      <c r="AS134" s="111"/>
      <c r="AT134">
        <f t="shared" si="3"/>
        <v>1</v>
      </c>
      <c r="AU134" t="str">
        <f t="shared" si="2"/>
        <v>Maldives</v>
      </c>
    </row>
    <row r="135" spans="1:47">
      <c r="A135">
        <v>254</v>
      </c>
      <c r="B135" s="72" t="s">
        <v>395</v>
      </c>
      <c r="C135" s="73" t="s">
        <v>114</v>
      </c>
      <c r="D135" s="73">
        <v>2015</v>
      </c>
      <c r="E135" s="59">
        <v>31.26833403648947</v>
      </c>
      <c r="F135" s="60">
        <v>20.55384304355432</v>
      </c>
      <c r="G135" s="60">
        <v>40.124368186823148</v>
      </c>
      <c r="H135" s="61">
        <v>8.0534547331330586</v>
      </c>
      <c r="I135" s="62">
        <v>0.79512500762939453</v>
      </c>
      <c r="J135" s="63">
        <v>-0.89826208353042603</v>
      </c>
      <c r="K135" s="64">
        <v>21.501144476925528</v>
      </c>
      <c r="L135" s="60">
        <v>9.6025180215996588</v>
      </c>
      <c r="M135" s="65">
        <v>56.240753560080748</v>
      </c>
      <c r="N135" s="61">
        <v>12.65558394139407</v>
      </c>
      <c r="O135" s="63">
        <v>0.63016313314437866</v>
      </c>
      <c r="P135" s="63">
        <v>-1.0405117273330688</v>
      </c>
      <c r="Q135" s="74">
        <v>45.970504030898738</v>
      </c>
      <c r="R135" s="66">
        <v>37.038446025294078</v>
      </c>
      <c r="S135" s="66">
        <v>15.865001046658559</v>
      </c>
      <c r="T135" s="67">
        <v>1.1260488971486211</v>
      </c>
      <c r="U135" s="68">
        <v>0.54688161611557007</v>
      </c>
      <c r="V135" s="68">
        <v>-0.22550275921821594</v>
      </c>
      <c r="W135" s="69"/>
      <c r="X135" s="70">
        <v>0</v>
      </c>
      <c r="Y135" s="66">
        <v>0</v>
      </c>
      <c r="Z135" s="66">
        <v>0</v>
      </c>
      <c r="AA135" s="66">
        <v>0</v>
      </c>
      <c r="AB135" s="66">
        <v>28.178574336977871</v>
      </c>
      <c r="AC135" s="66">
        <v>2.2382018585907768</v>
      </c>
      <c r="AD135" s="66">
        <v>0.85155784092082054</v>
      </c>
      <c r="AE135" s="70">
        <v>0</v>
      </c>
      <c r="AF135" s="66">
        <v>0</v>
      </c>
      <c r="AG135" s="66">
        <v>0</v>
      </c>
      <c r="AH135" s="66">
        <v>0</v>
      </c>
      <c r="AI135" s="66">
        <v>20.878903900181658</v>
      </c>
      <c r="AJ135" s="66">
        <v>0.60619566929227875</v>
      </c>
      <c r="AK135" s="66">
        <v>1.6044907451592798E-2</v>
      </c>
      <c r="AL135" s="70">
        <v>0</v>
      </c>
      <c r="AM135" s="66">
        <v>0</v>
      </c>
      <c r="AN135" s="66">
        <v>0</v>
      </c>
      <c r="AO135" s="66">
        <v>0</v>
      </c>
      <c r="AP135" s="66">
        <v>39.616218055232743</v>
      </c>
      <c r="AQ135" s="71">
        <v>4.4155458956931648</v>
      </c>
      <c r="AR135" s="71">
        <v>1.9387400799728329</v>
      </c>
      <c r="AS135" s="111"/>
      <c r="AT135">
        <f t="shared" si="3"/>
        <v>1</v>
      </c>
      <c r="AU135" t="str">
        <f t="shared" si="2"/>
        <v>Mali</v>
      </c>
    </row>
    <row r="136" spans="1:47">
      <c r="A136">
        <v>256</v>
      </c>
      <c r="B136" s="72" t="s">
        <v>396</v>
      </c>
      <c r="C136" s="73" t="s">
        <v>115</v>
      </c>
      <c r="D136" s="73">
        <v>2015</v>
      </c>
      <c r="E136" s="59">
        <v>99.961356733093524</v>
      </c>
      <c r="F136" s="60">
        <v>0</v>
      </c>
      <c r="G136" s="60">
        <v>3.8643266906476001E-2</v>
      </c>
      <c r="H136" s="61">
        <v>0</v>
      </c>
      <c r="I136" s="62">
        <v>-2.5762177538126707E-3</v>
      </c>
      <c r="J136" s="63">
        <v>0</v>
      </c>
      <c r="K136" s="64">
        <v>100</v>
      </c>
      <c r="L136" s="60">
        <v>0</v>
      </c>
      <c r="M136" s="65">
        <v>0</v>
      </c>
      <c r="N136" s="61">
        <v>0</v>
      </c>
      <c r="O136" s="63">
        <v>0</v>
      </c>
      <c r="P136" s="63">
        <v>0</v>
      </c>
      <c r="Q136" s="74">
        <v>99.959496402877704</v>
      </c>
      <c r="R136" s="66">
        <v>0</v>
      </c>
      <c r="S136" s="66">
        <v>4.0503597122295801E-2</v>
      </c>
      <c r="T136" s="67">
        <v>0</v>
      </c>
      <c r="U136" s="68">
        <v>-2.7002398855984211E-3</v>
      </c>
      <c r="V136" s="68">
        <v>0</v>
      </c>
      <c r="W136" s="69"/>
      <c r="X136" s="70">
        <v>93.030702666265711</v>
      </c>
      <c r="Y136" s="66">
        <v>0</v>
      </c>
      <c r="Z136" s="66">
        <v>0</v>
      </c>
      <c r="AA136" s="66">
        <v>93.030702666265711</v>
      </c>
      <c r="AB136" s="66">
        <v>0</v>
      </c>
      <c r="AC136" s="66">
        <v>0</v>
      </c>
      <c r="AD136" s="66">
        <v>99.961356733093524</v>
      </c>
      <c r="AE136" s="70">
        <v>93.066666666666677</v>
      </c>
      <c r="AF136" s="66">
        <v>0</v>
      </c>
      <c r="AG136" s="66">
        <v>0</v>
      </c>
      <c r="AH136" s="66">
        <v>93.066666666666677</v>
      </c>
      <c r="AI136" s="66">
        <v>0</v>
      </c>
      <c r="AJ136" s="66">
        <v>0</v>
      </c>
      <c r="AK136" s="66">
        <v>100</v>
      </c>
      <c r="AL136" s="70">
        <v>93.028971318944855</v>
      </c>
      <c r="AM136" s="66">
        <v>0</v>
      </c>
      <c r="AN136" s="66">
        <v>0</v>
      </c>
      <c r="AO136" s="66">
        <v>93.028971318944855</v>
      </c>
      <c r="AP136" s="66">
        <v>0</v>
      </c>
      <c r="AQ136" s="71">
        <v>0</v>
      </c>
      <c r="AR136" s="71">
        <v>99.959496402877704</v>
      </c>
      <c r="AS136" s="111"/>
      <c r="AT136">
        <f t="shared" si="3"/>
        <v>6.9333333333333289E-2</v>
      </c>
      <c r="AU136" t="str">
        <f t="shared" ref="AU136:AU199" si="4">C136</f>
        <v>Malta</v>
      </c>
    </row>
    <row r="137" spans="1:47">
      <c r="A137">
        <v>258</v>
      </c>
      <c r="B137" s="72" t="s">
        <v>397</v>
      </c>
      <c r="C137" s="73" t="s">
        <v>116</v>
      </c>
      <c r="D137" s="73">
        <v>2015</v>
      </c>
      <c r="E137" s="59">
        <v>86.893054335054984</v>
      </c>
      <c r="F137" s="60">
        <v>0.1194506649450093</v>
      </c>
      <c r="G137" s="60">
        <v>2.3853350000000071</v>
      </c>
      <c r="H137" s="61">
        <v>10.60216</v>
      </c>
      <c r="I137" s="62">
        <v>0</v>
      </c>
      <c r="J137" s="63">
        <v>0</v>
      </c>
      <c r="K137" s="64">
        <v>65.904022515527956</v>
      </c>
      <c r="L137" s="60">
        <v>0.1209774844720497</v>
      </c>
      <c r="M137" s="65">
        <v>4.4749999999999943</v>
      </c>
      <c r="N137" s="61">
        <v>29.5</v>
      </c>
      <c r="O137" s="63">
        <v>0</v>
      </c>
      <c r="P137" s="63">
        <v>0</v>
      </c>
      <c r="Q137" s="74">
        <v>94.781123142250536</v>
      </c>
      <c r="R137" s="66">
        <v>0.11887685774946929</v>
      </c>
      <c r="S137" s="66">
        <v>1.5999999999999941</v>
      </c>
      <c r="T137" s="67">
        <v>3.5</v>
      </c>
      <c r="U137" s="68">
        <v>0</v>
      </c>
      <c r="V137" s="68">
        <v>0</v>
      </c>
      <c r="W137" s="69"/>
      <c r="X137" s="70">
        <v>0</v>
      </c>
      <c r="Y137" s="66">
        <v>0</v>
      </c>
      <c r="Z137" s="66">
        <v>0</v>
      </c>
      <c r="AA137" s="66">
        <v>0</v>
      </c>
      <c r="AB137" s="66">
        <v>14.84961544160627</v>
      </c>
      <c r="AC137" s="66">
        <v>28.107095569332309</v>
      </c>
      <c r="AD137" s="66">
        <v>43.936343324116422</v>
      </c>
      <c r="AE137" s="70">
        <v>0</v>
      </c>
      <c r="AF137" s="66">
        <v>0</v>
      </c>
      <c r="AG137" s="66">
        <v>0</v>
      </c>
      <c r="AH137" s="66">
        <v>0</v>
      </c>
      <c r="AI137" s="66">
        <v>29.3710846273292</v>
      </c>
      <c r="AJ137" s="66">
        <v>36.183579192546581</v>
      </c>
      <c r="AK137" s="66">
        <v>0.34935869565217392</v>
      </c>
      <c r="AL137" s="70">
        <v>0</v>
      </c>
      <c r="AM137" s="66">
        <v>0</v>
      </c>
      <c r="AN137" s="66">
        <v>0</v>
      </c>
      <c r="AO137" s="66">
        <v>0</v>
      </c>
      <c r="AP137" s="66">
        <v>9.3882250530785623</v>
      </c>
      <c r="AQ137" s="71">
        <v>25.06855838641189</v>
      </c>
      <c r="AR137" s="71">
        <v>60.324339702760092</v>
      </c>
      <c r="AS137" s="111"/>
      <c r="AT137">
        <f t="shared" si="3"/>
        <v>1</v>
      </c>
      <c r="AU137" t="str">
        <f t="shared" si="4"/>
        <v>Marshall Islands</v>
      </c>
    </row>
    <row r="138" spans="1:47">
      <c r="A138">
        <v>260</v>
      </c>
      <c r="B138" s="72" t="s">
        <v>398</v>
      </c>
      <c r="C138" s="73" t="s">
        <v>117</v>
      </c>
      <c r="D138" s="73">
        <v>2015</v>
      </c>
      <c r="E138" s="59">
        <v>99.375775247698016</v>
      </c>
      <c r="F138" s="60">
        <v>0</v>
      </c>
      <c r="G138" s="60">
        <v>0.62422475230198415</v>
      </c>
      <c r="H138" s="61">
        <v>0</v>
      </c>
      <c r="I138" s="62">
        <v>0</v>
      </c>
      <c r="J138" s="63">
        <v>0</v>
      </c>
      <c r="K138" s="64">
        <v>0</v>
      </c>
      <c r="L138" s="60">
        <v>0</v>
      </c>
      <c r="M138" s="65">
        <v>0</v>
      </c>
      <c r="N138" s="61">
        <v>0</v>
      </c>
      <c r="O138" s="63">
        <v>0</v>
      </c>
      <c r="P138" s="63">
        <v>0</v>
      </c>
      <c r="Q138" s="74">
        <v>0</v>
      </c>
      <c r="R138" s="66">
        <v>0</v>
      </c>
      <c r="S138" s="66">
        <v>0</v>
      </c>
      <c r="T138" s="67">
        <v>0</v>
      </c>
      <c r="U138" s="68">
        <v>0</v>
      </c>
      <c r="V138" s="68">
        <v>0</v>
      </c>
      <c r="W138" s="69"/>
      <c r="X138" s="70">
        <v>0</v>
      </c>
      <c r="Y138" s="66">
        <v>0</v>
      </c>
      <c r="Z138" s="66">
        <v>0</v>
      </c>
      <c r="AA138" s="66">
        <v>0</v>
      </c>
      <c r="AB138" s="66">
        <v>1.3621248677678179</v>
      </c>
      <c r="AC138" s="66">
        <v>51.811185040918247</v>
      </c>
      <c r="AD138" s="66">
        <v>46.202465339011951</v>
      </c>
      <c r="AE138" s="70">
        <v>0</v>
      </c>
      <c r="AF138" s="66">
        <v>0</v>
      </c>
      <c r="AG138" s="66">
        <v>0</v>
      </c>
      <c r="AH138" s="66">
        <v>0</v>
      </c>
      <c r="AI138" s="66">
        <v>0</v>
      </c>
      <c r="AJ138" s="66">
        <v>0</v>
      </c>
      <c r="AK138" s="66">
        <v>0</v>
      </c>
      <c r="AL138" s="70">
        <v>0</v>
      </c>
      <c r="AM138" s="66">
        <v>0</v>
      </c>
      <c r="AN138" s="66">
        <v>0</v>
      </c>
      <c r="AO138" s="66">
        <v>0</v>
      </c>
      <c r="AP138" s="66">
        <v>0</v>
      </c>
      <c r="AQ138" s="71">
        <v>0</v>
      </c>
      <c r="AR138" s="71">
        <v>0</v>
      </c>
      <c r="AS138" s="111"/>
      <c r="AT138">
        <f t="shared" ref="AT138:AT201" si="5">(AD138-AA138)/AD138</f>
        <v>1</v>
      </c>
      <c r="AU138" t="str">
        <f t="shared" si="4"/>
        <v>Martinique</v>
      </c>
    </row>
    <row r="139" spans="1:47">
      <c r="A139">
        <v>262</v>
      </c>
      <c r="B139" s="72" t="s">
        <v>399</v>
      </c>
      <c r="C139" s="73" t="s">
        <v>118</v>
      </c>
      <c r="D139" s="73">
        <v>2015</v>
      </c>
      <c r="E139" s="59">
        <v>44.620624337662953</v>
      </c>
      <c r="F139" s="60">
        <v>12.44137631445494</v>
      </c>
      <c r="G139" s="60">
        <v>12.82493580242755</v>
      </c>
      <c r="H139" s="61">
        <v>30.113063545454551</v>
      </c>
      <c r="I139" s="62">
        <v>1.4196865558624268</v>
      </c>
      <c r="J139" s="63">
        <v>-1.2523341178894043</v>
      </c>
      <c r="K139" s="64">
        <v>17.1490599088708</v>
      </c>
      <c r="L139" s="60">
        <v>6.2816372933192026</v>
      </c>
      <c r="M139" s="65">
        <v>16.003556044563538</v>
      </c>
      <c r="N139" s="61">
        <v>60.565746753246458</v>
      </c>
      <c r="O139" s="63">
        <v>0.6614798903465271</v>
      </c>
      <c r="P139" s="63">
        <v>-1.0579545497894287</v>
      </c>
      <c r="Q139" s="74">
        <v>63.042851032665297</v>
      </c>
      <c r="R139" s="66">
        <v>16.572051468523838</v>
      </c>
      <c r="S139" s="66">
        <v>10.69337671958988</v>
      </c>
      <c r="T139" s="67">
        <v>9.6917207792209865</v>
      </c>
      <c r="U139" s="68">
        <v>1.5416513681411743</v>
      </c>
      <c r="V139" s="68">
        <v>-0.72159093618392944</v>
      </c>
      <c r="W139" s="69"/>
      <c r="X139" s="70">
        <v>0</v>
      </c>
      <c r="Y139" s="66">
        <v>0</v>
      </c>
      <c r="Z139" s="66">
        <v>0</v>
      </c>
      <c r="AA139" s="66">
        <v>0</v>
      </c>
      <c r="AB139" s="66">
        <v>30.193869195357738</v>
      </c>
      <c r="AC139" s="66">
        <v>12.168654912558241</v>
      </c>
      <c r="AD139" s="66">
        <v>2.2581002297469741</v>
      </c>
      <c r="AE139" s="70">
        <v>0</v>
      </c>
      <c r="AF139" s="66">
        <v>0</v>
      </c>
      <c r="AG139" s="66">
        <v>0</v>
      </c>
      <c r="AH139" s="66">
        <v>0</v>
      </c>
      <c r="AI139" s="66">
        <v>14.504322607760081</v>
      </c>
      <c r="AJ139" s="66">
        <v>2.5616698113207552</v>
      </c>
      <c r="AK139" s="66">
        <v>8.3067489789964505E-2</v>
      </c>
      <c r="AL139" s="70">
        <v>0</v>
      </c>
      <c r="AM139" s="66">
        <v>0</v>
      </c>
      <c r="AN139" s="66">
        <v>0</v>
      </c>
      <c r="AO139" s="66">
        <v>0</v>
      </c>
      <c r="AP139" s="66">
        <v>40.555898940000063</v>
      </c>
      <c r="AQ139" s="71">
        <v>18.72719026315789</v>
      </c>
      <c r="AR139" s="71">
        <v>3.7597618295073421</v>
      </c>
      <c r="AS139" s="111"/>
      <c r="AT139">
        <f t="shared" si="5"/>
        <v>1</v>
      </c>
      <c r="AU139" t="str">
        <f t="shared" si="4"/>
        <v>Mauritania</v>
      </c>
    </row>
    <row r="140" spans="1:47">
      <c r="A140">
        <v>264</v>
      </c>
      <c r="B140" s="72" t="s">
        <v>400</v>
      </c>
      <c r="C140" s="73" t="s">
        <v>119</v>
      </c>
      <c r="D140" s="73">
        <v>2015</v>
      </c>
      <c r="E140" s="59">
        <v>93.149133030773726</v>
      </c>
      <c r="F140" s="60">
        <v>6.3096471031675891</v>
      </c>
      <c r="G140" s="60">
        <v>0.39893897424982783</v>
      </c>
      <c r="H140" s="61">
        <v>0.14228089180885059</v>
      </c>
      <c r="I140" s="62">
        <v>0.11945309489965439</v>
      </c>
      <c r="J140" s="63">
        <v>3.7376834079623222E-3</v>
      </c>
      <c r="K140" s="64">
        <v>92.63497680770341</v>
      </c>
      <c r="L140" s="60">
        <v>6.5318454044194851</v>
      </c>
      <c r="M140" s="65">
        <v>0.61227830508691383</v>
      </c>
      <c r="N140" s="61">
        <v>0.22089948279019109</v>
      </c>
      <c r="O140" s="63">
        <v>0.18594829738140106</v>
      </c>
      <c r="P140" s="63">
        <v>7.7614863403141499E-3</v>
      </c>
      <c r="Q140" s="74">
        <v>93.931027381347434</v>
      </c>
      <c r="R140" s="66">
        <v>5.9717428074295018</v>
      </c>
      <c r="S140" s="66">
        <v>7.4506807425937197E-2</v>
      </c>
      <c r="T140" s="67">
        <v>2.2723003797121801E-2</v>
      </c>
      <c r="U140" s="68">
        <v>3.6185074597597122E-2</v>
      </c>
      <c r="V140" s="68">
        <v>-2.597135491669178E-3</v>
      </c>
      <c r="W140" s="69"/>
      <c r="X140" s="70">
        <v>0</v>
      </c>
      <c r="Y140" s="66">
        <v>0</v>
      </c>
      <c r="Z140" s="66">
        <v>0</v>
      </c>
      <c r="AA140" s="66">
        <v>8.0658375650772207</v>
      </c>
      <c r="AB140" s="66">
        <v>65.568118055864005</v>
      </c>
      <c r="AC140" s="66">
        <v>6.3011942887900814</v>
      </c>
      <c r="AD140" s="66">
        <v>21.279820686119631</v>
      </c>
      <c r="AE140" s="70">
        <v>0</v>
      </c>
      <c r="AF140" s="66">
        <v>0</v>
      </c>
      <c r="AG140" s="66">
        <v>0</v>
      </c>
      <c r="AH140" s="66">
        <v>1.9171478707895231</v>
      </c>
      <c r="AI140" s="66">
        <v>79.629207896468174</v>
      </c>
      <c r="AJ140" s="66">
        <v>7.9478238943637578</v>
      </c>
      <c r="AK140" s="66">
        <v>5.057945016871475</v>
      </c>
      <c r="AL140" s="70">
        <v>0</v>
      </c>
      <c r="AM140" s="66">
        <v>0</v>
      </c>
      <c r="AN140" s="66">
        <v>0</v>
      </c>
      <c r="AO140" s="66">
        <v>17.476888443777788</v>
      </c>
      <c r="AP140" s="66">
        <v>44.041920560058109</v>
      </c>
      <c r="AQ140" s="71">
        <v>3.780435622014195</v>
      </c>
      <c r="AR140" s="71">
        <v>46.108671199275143</v>
      </c>
      <c r="AS140" s="111"/>
      <c r="AT140">
        <f t="shared" si="5"/>
        <v>0.62096308591836991</v>
      </c>
      <c r="AU140" t="str">
        <f t="shared" si="4"/>
        <v>Mauritius</v>
      </c>
    </row>
    <row r="141" spans="1:47">
      <c r="A141">
        <v>266</v>
      </c>
      <c r="B141" s="72" t="s">
        <v>401</v>
      </c>
      <c r="C141" s="73" t="s">
        <v>120</v>
      </c>
      <c r="D141" s="73">
        <v>2015</v>
      </c>
      <c r="E141" s="59">
        <v>76.87679249670569</v>
      </c>
      <c r="F141" s="60">
        <v>0</v>
      </c>
      <c r="G141" s="60">
        <v>23.12320750329431</v>
      </c>
      <c r="H141" s="61">
        <v>0</v>
      </c>
      <c r="I141" s="62">
        <v>0</v>
      </c>
      <c r="J141" s="63">
        <v>0</v>
      </c>
      <c r="K141" s="64">
        <v>0</v>
      </c>
      <c r="L141" s="60">
        <v>0</v>
      </c>
      <c r="M141" s="65">
        <v>0</v>
      </c>
      <c r="N141" s="61">
        <v>0</v>
      </c>
      <c r="O141" s="63">
        <v>0</v>
      </c>
      <c r="P141" s="63">
        <v>0</v>
      </c>
      <c r="Q141" s="74">
        <v>0</v>
      </c>
      <c r="R141" s="66">
        <v>0</v>
      </c>
      <c r="S141" s="66">
        <v>0</v>
      </c>
      <c r="T141" s="67">
        <v>0</v>
      </c>
      <c r="U141" s="68">
        <v>0</v>
      </c>
      <c r="V141" s="68">
        <v>0</v>
      </c>
      <c r="W141" s="69"/>
      <c r="X141" s="70">
        <v>0</v>
      </c>
      <c r="Y141" s="66">
        <v>0</v>
      </c>
      <c r="Z141" s="66">
        <v>0</v>
      </c>
      <c r="AA141" s="66">
        <v>0</v>
      </c>
      <c r="AB141" s="66">
        <v>23.123207503294321</v>
      </c>
      <c r="AC141" s="66">
        <v>35.276335167816448</v>
      </c>
      <c r="AD141" s="66">
        <v>18.477249825594921</v>
      </c>
      <c r="AE141" s="70">
        <v>0</v>
      </c>
      <c r="AF141" s="66">
        <v>0</v>
      </c>
      <c r="AG141" s="66">
        <v>0</v>
      </c>
      <c r="AH141" s="66">
        <v>0</v>
      </c>
      <c r="AI141" s="66">
        <v>0</v>
      </c>
      <c r="AJ141" s="66">
        <v>0</v>
      </c>
      <c r="AK141" s="66">
        <v>0</v>
      </c>
      <c r="AL141" s="70">
        <v>0</v>
      </c>
      <c r="AM141" s="66">
        <v>0</v>
      </c>
      <c r="AN141" s="66">
        <v>0</v>
      </c>
      <c r="AO141" s="66">
        <v>0</v>
      </c>
      <c r="AP141" s="66">
        <v>0</v>
      </c>
      <c r="AQ141" s="71">
        <v>0</v>
      </c>
      <c r="AR141" s="71">
        <v>0</v>
      </c>
      <c r="AS141" s="111"/>
      <c r="AT141">
        <f t="shared" si="5"/>
        <v>1</v>
      </c>
      <c r="AU141" t="str">
        <f t="shared" si="4"/>
        <v>Mayotte</v>
      </c>
    </row>
    <row r="142" spans="1:47">
      <c r="A142">
        <v>268</v>
      </c>
      <c r="B142" s="72" t="s">
        <v>402</v>
      </c>
      <c r="C142" s="73" t="s">
        <v>121</v>
      </c>
      <c r="D142" s="73">
        <v>2015</v>
      </c>
      <c r="E142" s="59">
        <v>89.218392547818922</v>
      </c>
      <c r="F142" s="60">
        <v>7.2831653165909636</v>
      </c>
      <c r="G142" s="60">
        <v>1.821559600048396</v>
      </c>
      <c r="H142" s="61">
        <v>1.6768825355417001</v>
      </c>
      <c r="I142" s="62">
        <v>0.85945969820022583</v>
      </c>
      <c r="J142" s="63">
        <v>-0.58608782291412354</v>
      </c>
      <c r="K142" s="64">
        <v>80.738303222850504</v>
      </c>
      <c r="L142" s="60">
        <v>7.8999021560661067</v>
      </c>
      <c r="M142" s="65">
        <v>5.8219804169762028</v>
      </c>
      <c r="N142" s="61">
        <v>5.5398142041071878</v>
      </c>
      <c r="O142" s="63">
        <v>2.0208659172058105</v>
      </c>
      <c r="P142" s="63">
        <v>-1.5396955013275146</v>
      </c>
      <c r="Q142" s="74">
        <v>91.43927150512144</v>
      </c>
      <c r="R142" s="66">
        <v>7.1216460428551649</v>
      </c>
      <c r="S142" s="66">
        <v>0.77387601179765397</v>
      </c>
      <c r="T142" s="67">
        <v>0.66520644022574515</v>
      </c>
      <c r="U142" s="68">
        <v>0.42337074875831604</v>
      </c>
      <c r="V142" s="68">
        <v>-0.24381273984909058</v>
      </c>
      <c r="W142" s="69"/>
      <c r="X142" s="70">
        <v>45.160628226899483</v>
      </c>
      <c r="Y142" s="66">
        <v>8.3938955711451726</v>
      </c>
      <c r="Z142" s="66">
        <v>0</v>
      </c>
      <c r="AA142" s="66">
        <v>36.766732655754311</v>
      </c>
      <c r="AB142" s="66">
        <v>3.3722597648635682</v>
      </c>
      <c r="AC142" s="66">
        <v>13.415531377426779</v>
      </c>
      <c r="AD142" s="66">
        <v>72.430601405528591</v>
      </c>
      <c r="AE142" s="70">
        <v>0</v>
      </c>
      <c r="AF142" s="66">
        <v>0</v>
      </c>
      <c r="AG142" s="66">
        <v>0</v>
      </c>
      <c r="AH142" s="66">
        <v>15.903205752682521</v>
      </c>
      <c r="AI142" s="66">
        <v>13.331437917084809</v>
      </c>
      <c r="AJ142" s="66">
        <v>36.077490250123439</v>
      </c>
      <c r="AK142" s="66">
        <v>31.329375055642259</v>
      </c>
      <c r="AL142" s="70">
        <v>46.354281193670772</v>
      </c>
      <c r="AM142" s="66">
        <v>4.0392881324892747</v>
      </c>
      <c r="AN142" s="66">
        <v>0</v>
      </c>
      <c r="AO142" s="66">
        <v>42.31499306118149</v>
      </c>
      <c r="AP142" s="66">
        <v>0.71415928474987855</v>
      </c>
      <c r="AQ142" s="71">
        <v>7.3644169802286701</v>
      </c>
      <c r="AR142" s="71">
        <v>83.360695240142888</v>
      </c>
      <c r="AS142" s="111"/>
      <c r="AT142">
        <f t="shared" si="5"/>
        <v>0.49238675446165875</v>
      </c>
      <c r="AU142" t="str">
        <f t="shared" si="4"/>
        <v>Mexico</v>
      </c>
    </row>
    <row r="143" spans="1:47">
      <c r="A143">
        <v>270</v>
      </c>
      <c r="B143" s="72" t="s">
        <v>403</v>
      </c>
      <c r="C143" s="73" t="s">
        <v>122</v>
      </c>
      <c r="D143" s="73">
        <v>2015</v>
      </c>
      <c r="E143" s="59">
        <v>0</v>
      </c>
      <c r="F143" s="60">
        <v>0</v>
      </c>
      <c r="G143" s="60">
        <v>0</v>
      </c>
      <c r="H143" s="61">
        <v>0</v>
      </c>
      <c r="I143" s="62">
        <v>0</v>
      </c>
      <c r="J143" s="63">
        <v>0</v>
      </c>
      <c r="K143" s="64">
        <v>0</v>
      </c>
      <c r="L143" s="60">
        <v>0</v>
      </c>
      <c r="M143" s="65">
        <v>0</v>
      </c>
      <c r="N143" s="61">
        <v>0</v>
      </c>
      <c r="O143" s="63">
        <v>0</v>
      </c>
      <c r="P143" s="63">
        <v>0</v>
      </c>
      <c r="Q143" s="74">
        <v>0</v>
      </c>
      <c r="R143" s="66">
        <v>0</v>
      </c>
      <c r="S143" s="66">
        <v>0</v>
      </c>
      <c r="T143" s="67">
        <v>0</v>
      </c>
      <c r="U143" s="68">
        <v>0</v>
      </c>
      <c r="V143" s="68">
        <v>0</v>
      </c>
      <c r="W143" s="69"/>
      <c r="X143" s="70">
        <v>0</v>
      </c>
      <c r="Y143" s="66">
        <v>0</v>
      </c>
      <c r="Z143" s="66">
        <v>0</v>
      </c>
      <c r="AA143" s="66">
        <v>0</v>
      </c>
      <c r="AB143" s="66">
        <v>0</v>
      </c>
      <c r="AC143" s="66">
        <v>0</v>
      </c>
      <c r="AD143" s="66">
        <v>0</v>
      </c>
      <c r="AE143" s="70">
        <v>0</v>
      </c>
      <c r="AF143" s="66">
        <v>0</v>
      </c>
      <c r="AG143" s="66">
        <v>0</v>
      </c>
      <c r="AH143" s="66">
        <v>0</v>
      </c>
      <c r="AI143" s="66">
        <v>0</v>
      </c>
      <c r="AJ143" s="66">
        <v>0</v>
      </c>
      <c r="AK143" s="66">
        <v>0</v>
      </c>
      <c r="AL143" s="70">
        <v>0</v>
      </c>
      <c r="AM143" s="66">
        <v>0</v>
      </c>
      <c r="AN143" s="66">
        <v>0</v>
      </c>
      <c r="AO143" s="66">
        <v>0</v>
      </c>
      <c r="AP143" s="66">
        <v>0</v>
      </c>
      <c r="AQ143" s="71">
        <v>0</v>
      </c>
      <c r="AR143" s="71">
        <v>0</v>
      </c>
      <c r="AS143" s="111"/>
      <c r="AT143" t="e">
        <f t="shared" si="5"/>
        <v>#DIV/0!</v>
      </c>
      <c r="AU143" t="str">
        <f t="shared" si="4"/>
        <v>Micronesia (Federated States of)</v>
      </c>
    </row>
    <row r="144" spans="1:47">
      <c r="A144">
        <v>272</v>
      </c>
      <c r="B144" s="72" t="s">
        <v>404</v>
      </c>
      <c r="C144" s="73" t="s">
        <v>123</v>
      </c>
      <c r="D144" s="73">
        <v>2015</v>
      </c>
      <c r="E144" s="59">
        <v>100</v>
      </c>
      <c r="F144" s="60">
        <v>0</v>
      </c>
      <c r="G144" s="60">
        <v>0</v>
      </c>
      <c r="H144" s="61">
        <v>0</v>
      </c>
      <c r="I144" s="62">
        <v>0</v>
      </c>
      <c r="J144" s="63">
        <v>0</v>
      </c>
      <c r="K144" s="64">
        <v>0</v>
      </c>
      <c r="L144" s="60">
        <v>0</v>
      </c>
      <c r="M144" s="65">
        <v>0</v>
      </c>
      <c r="N144" s="61">
        <v>0</v>
      </c>
      <c r="O144" s="63">
        <v>0</v>
      </c>
      <c r="P144" s="63">
        <v>0</v>
      </c>
      <c r="Q144" s="74">
        <v>100</v>
      </c>
      <c r="R144" s="66">
        <v>0</v>
      </c>
      <c r="S144" s="66">
        <v>0</v>
      </c>
      <c r="T144" s="67">
        <v>0</v>
      </c>
      <c r="U144" s="68">
        <v>0</v>
      </c>
      <c r="V144" s="68">
        <v>0</v>
      </c>
      <c r="W144" s="69"/>
      <c r="X144" s="70">
        <v>100</v>
      </c>
      <c r="Y144" s="66">
        <v>0</v>
      </c>
      <c r="Z144" s="66">
        <v>0</v>
      </c>
      <c r="AA144" s="66">
        <v>100</v>
      </c>
      <c r="AB144" s="66">
        <v>0</v>
      </c>
      <c r="AC144" s="66">
        <v>0</v>
      </c>
      <c r="AD144" s="66">
        <v>100</v>
      </c>
      <c r="AE144" s="70">
        <v>0</v>
      </c>
      <c r="AF144" s="66">
        <v>0</v>
      </c>
      <c r="AG144" s="66">
        <v>0</v>
      </c>
      <c r="AH144" s="66">
        <v>0</v>
      </c>
      <c r="AI144" s="66">
        <v>0</v>
      </c>
      <c r="AJ144" s="66">
        <v>0</v>
      </c>
      <c r="AK144" s="66">
        <v>0</v>
      </c>
      <c r="AL144" s="70">
        <v>100</v>
      </c>
      <c r="AM144" s="66">
        <v>0</v>
      </c>
      <c r="AN144" s="66">
        <v>0</v>
      </c>
      <c r="AO144" s="66">
        <v>100</v>
      </c>
      <c r="AP144" s="66">
        <v>0</v>
      </c>
      <c r="AQ144" s="71">
        <v>0</v>
      </c>
      <c r="AR144" s="71">
        <v>100</v>
      </c>
      <c r="AS144" s="111"/>
      <c r="AT144">
        <f t="shared" si="5"/>
        <v>0</v>
      </c>
      <c r="AU144" t="str">
        <f t="shared" si="4"/>
        <v>Monaco</v>
      </c>
    </row>
    <row r="145" spans="1:47">
      <c r="A145">
        <v>274</v>
      </c>
      <c r="B145" s="72" t="s">
        <v>405</v>
      </c>
      <c r="C145" s="73" t="s">
        <v>124</v>
      </c>
      <c r="D145" s="73">
        <v>2015</v>
      </c>
      <c r="E145" s="59">
        <v>59.221530297857683</v>
      </c>
      <c r="F145" s="60">
        <v>31.11954761594944</v>
      </c>
      <c r="G145" s="60">
        <v>0</v>
      </c>
      <c r="H145" s="61">
        <v>9.6589220861928631</v>
      </c>
      <c r="I145" s="62">
        <v>0.74592059850692749</v>
      </c>
      <c r="J145" s="63">
        <v>-0.38989830017089844</v>
      </c>
      <c r="K145" s="64">
        <v>40.744004025152172</v>
      </c>
      <c r="L145" s="60">
        <v>28.39061963776722</v>
      </c>
      <c r="M145" s="65">
        <v>0</v>
      </c>
      <c r="N145" s="61">
        <v>30.865376337080608</v>
      </c>
      <c r="O145" s="63">
        <v>0.96511256694793701</v>
      </c>
      <c r="P145" s="63">
        <v>-0.28452646732330322</v>
      </c>
      <c r="Q145" s="74">
        <v>66.392985525298641</v>
      </c>
      <c r="R145" s="66">
        <v>32.178692900096792</v>
      </c>
      <c r="S145" s="66">
        <v>0</v>
      </c>
      <c r="T145" s="67">
        <v>1.428321574604563</v>
      </c>
      <c r="U145" s="68">
        <v>0.13530924916267395</v>
      </c>
      <c r="V145" s="68">
        <v>4.3083883821964264E-2</v>
      </c>
      <c r="W145" s="69"/>
      <c r="X145" s="70">
        <v>0</v>
      </c>
      <c r="Y145" s="66">
        <v>0</v>
      </c>
      <c r="Z145" s="66">
        <v>0</v>
      </c>
      <c r="AA145" s="66">
        <v>0</v>
      </c>
      <c r="AB145" s="66">
        <v>45.834069062549688</v>
      </c>
      <c r="AC145" s="66">
        <v>0.1325179410802792</v>
      </c>
      <c r="AD145" s="66">
        <v>13.25494329422772</v>
      </c>
      <c r="AE145" s="70">
        <v>0</v>
      </c>
      <c r="AF145" s="66">
        <v>0</v>
      </c>
      <c r="AG145" s="66">
        <v>0</v>
      </c>
      <c r="AH145" s="66">
        <v>0</v>
      </c>
      <c r="AI145" s="66">
        <v>39.103217437336987</v>
      </c>
      <c r="AJ145" s="66">
        <v>0</v>
      </c>
      <c r="AK145" s="66">
        <v>1.6407865878151799</v>
      </c>
      <c r="AL145" s="70">
        <v>0</v>
      </c>
      <c r="AM145" s="66">
        <v>0</v>
      </c>
      <c r="AN145" s="66">
        <v>0</v>
      </c>
      <c r="AO145" s="66">
        <v>0</v>
      </c>
      <c r="AP145" s="66">
        <v>48.026649874867772</v>
      </c>
      <c r="AQ145" s="71">
        <v>0.18900646728697551</v>
      </c>
      <c r="AR145" s="71">
        <v>18.1773291831439</v>
      </c>
      <c r="AS145" s="111"/>
      <c r="AT145">
        <f t="shared" si="5"/>
        <v>1</v>
      </c>
      <c r="AU145" t="str">
        <f t="shared" si="4"/>
        <v>Mongolia</v>
      </c>
    </row>
    <row r="146" spans="1:47">
      <c r="A146">
        <v>276</v>
      </c>
      <c r="B146" s="72" t="s">
        <v>406</v>
      </c>
      <c r="C146" s="73" t="s">
        <v>125</v>
      </c>
      <c r="D146" s="73">
        <v>2015</v>
      </c>
      <c r="E146" s="59">
        <v>95.908687122542403</v>
      </c>
      <c r="F146" s="60">
        <v>1.8900006745680109</v>
      </c>
      <c r="G146" s="60">
        <v>2.1449350387104928</v>
      </c>
      <c r="H146" s="61">
        <v>5.6377164179106098E-2</v>
      </c>
      <c r="I146" s="62">
        <v>0</v>
      </c>
      <c r="J146" s="63">
        <v>0</v>
      </c>
      <c r="K146" s="64">
        <v>92.213057692876461</v>
      </c>
      <c r="L146" s="60">
        <v>1.6677667834408929</v>
      </c>
      <c r="M146" s="65">
        <v>5.9624591057722043</v>
      </c>
      <c r="N146" s="61">
        <v>0.15671641791045229</v>
      </c>
      <c r="O146" s="63">
        <v>0</v>
      </c>
      <c r="P146" s="63">
        <v>0</v>
      </c>
      <c r="Q146" s="74">
        <v>97.985133770822813</v>
      </c>
      <c r="R146" s="66">
        <v>2.0148662291771839</v>
      </c>
      <c r="S146" s="66">
        <v>0</v>
      </c>
      <c r="T146" s="67">
        <v>0</v>
      </c>
      <c r="U146" s="68">
        <v>0</v>
      </c>
      <c r="V146" s="68">
        <v>0</v>
      </c>
      <c r="W146" s="69"/>
      <c r="X146" s="70">
        <v>0</v>
      </c>
      <c r="Y146" s="66">
        <v>0</v>
      </c>
      <c r="Z146" s="66">
        <v>0</v>
      </c>
      <c r="AA146" s="66">
        <v>12.683546198038851</v>
      </c>
      <c r="AB146" s="66">
        <v>1.5430443012979631</v>
      </c>
      <c r="AC146" s="66">
        <v>50.528501583783047</v>
      </c>
      <c r="AD146" s="66">
        <v>43.83714123746136</v>
      </c>
      <c r="AE146" s="70">
        <v>0</v>
      </c>
      <c r="AF146" s="66">
        <v>0</v>
      </c>
      <c r="AG146" s="66">
        <v>0</v>
      </c>
      <c r="AH146" s="66">
        <v>4.2550117389469539</v>
      </c>
      <c r="AI146" s="66">
        <v>4.2961582901061766</v>
      </c>
      <c r="AJ146" s="66">
        <v>73.210637632216319</v>
      </c>
      <c r="AK146" s="66">
        <v>14.70626177055396</v>
      </c>
      <c r="AL146" s="70">
        <v>36.317310664161013</v>
      </c>
      <c r="AM146" s="66">
        <v>18.908889145101838</v>
      </c>
      <c r="AN146" s="66">
        <v>0</v>
      </c>
      <c r="AO146" s="66">
        <v>17.408421519059178</v>
      </c>
      <c r="AP146" s="66">
        <v>0</v>
      </c>
      <c r="AQ146" s="71">
        <v>37.81777829020367</v>
      </c>
      <c r="AR146" s="71">
        <v>60.167355480619143</v>
      </c>
      <c r="AS146" s="111"/>
      <c r="AT146">
        <f t="shared" si="5"/>
        <v>0.710666666666666</v>
      </c>
      <c r="AU146" t="str">
        <f t="shared" si="4"/>
        <v>Montenegro</v>
      </c>
    </row>
    <row r="147" spans="1:47">
      <c r="A147">
        <v>278</v>
      </c>
      <c r="B147" s="72" t="s">
        <v>407</v>
      </c>
      <c r="C147" s="73" t="s">
        <v>126</v>
      </c>
      <c r="D147" s="73">
        <v>2015</v>
      </c>
      <c r="E147" s="59">
        <v>88.754211992570816</v>
      </c>
      <c r="F147" s="60">
        <v>10.508288007429011</v>
      </c>
      <c r="G147" s="60">
        <v>0.7375000000001819</v>
      </c>
      <c r="H147" s="61">
        <v>0</v>
      </c>
      <c r="I147" s="62">
        <v>0.57783561944961548</v>
      </c>
      <c r="J147" s="63">
        <v>-0.24666666984558105</v>
      </c>
      <c r="K147" s="64">
        <v>0</v>
      </c>
      <c r="L147" s="60">
        <v>0</v>
      </c>
      <c r="M147" s="65">
        <v>0</v>
      </c>
      <c r="N147" s="61">
        <v>0</v>
      </c>
      <c r="O147" s="63">
        <v>0</v>
      </c>
      <c r="P147" s="63">
        <v>0</v>
      </c>
      <c r="Q147" s="74">
        <v>0</v>
      </c>
      <c r="R147" s="66">
        <v>0</v>
      </c>
      <c r="S147" s="66">
        <v>0</v>
      </c>
      <c r="T147" s="67">
        <v>0</v>
      </c>
      <c r="U147" s="68">
        <v>0</v>
      </c>
      <c r="V147" s="68">
        <v>0</v>
      </c>
      <c r="W147" s="69"/>
      <c r="X147" s="70">
        <v>0</v>
      </c>
      <c r="Y147" s="66">
        <v>0</v>
      </c>
      <c r="Z147" s="66">
        <v>0</v>
      </c>
      <c r="AA147" s="66">
        <v>12.69673653488989</v>
      </c>
      <c r="AB147" s="66">
        <v>10.785520031838519</v>
      </c>
      <c r="AC147" s="66">
        <v>65.271955425842393</v>
      </c>
      <c r="AD147" s="66">
        <v>12.69673653488989</v>
      </c>
      <c r="AE147" s="70">
        <v>0</v>
      </c>
      <c r="AF147" s="66">
        <v>0</v>
      </c>
      <c r="AG147" s="66">
        <v>0</v>
      </c>
      <c r="AH147" s="66">
        <v>0</v>
      </c>
      <c r="AI147" s="66">
        <v>0</v>
      </c>
      <c r="AJ147" s="66">
        <v>0</v>
      </c>
      <c r="AK147" s="66">
        <v>0</v>
      </c>
      <c r="AL147" s="70">
        <v>0</v>
      </c>
      <c r="AM147" s="66">
        <v>0</v>
      </c>
      <c r="AN147" s="66">
        <v>0</v>
      </c>
      <c r="AO147" s="66">
        <v>0</v>
      </c>
      <c r="AP147" s="66">
        <v>0</v>
      </c>
      <c r="AQ147" s="71">
        <v>0</v>
      </c>
      <c r="AR147" s="71">
        <v>0</v>
      </c>
      <c r="AS147" s="111"/>
      <c r="AT147">
        <f t="shared" si="5"/>
        <v>0</v>
      </c>
      <c r="AU147" t="str">
        <f t="shared" si="4"/>
        <v>Montserrat</v>
      </c>
    </row>
    <row r="148" spans="1:47">
      <c r="A148">
        <v>280</v>
      </c>
      <c r="B148" s="72" t="s">
        <v>408</v>
      </c>
      <c r="C148" s="73" t="s">
        <v>127</v>
      </c>
      <c r="D148" s="73">
        <v>2015</v>
      </c>
      <c r="E148" s="59">
        <v>83.466067685050959</v>
      </c>
      <c r="F148" s="60">
        <v>7.6483749975617688</v>
      </c>
      <c r="G148" s="60">
        <v>1.3044316966976099</v>
      </c>
      <c r="H148" s="61">
        <v>7.5811256206896633</v>
      </c>
      <c r="I148" s="62">
        <v>0.98611539602279663</v>
      </c>
      <c r="J148" s="63">
        <v>-1.1122584342956543</v>
      </c>
      <c r="K148" s="64">
        <v>74.569258888379736</v>
      </c>
      <c r="L148" s="60">
        <v>4.6700255569586639</v>
      </c>
      <c r="M148" s="65">
        <v>1.903198313282243</v>
      </c>
      <c r="N148" s="61">
        <v>18.857517241379359</v>
      </c>
      <c r="O148" s="63">
        <v>1.8171325922012329</v>
      </c>
      <c r="P148" s="63">
        <v>-2.0578134059906006</v>
      </c>
      <c r="Q148" s="74">
        <v>89.349238615385673</v>
      </c>
      <c r="R148" s="66">
        <v>9.6178608266706096</v>
      </c>
      <c r="S148" s="66">
        <v>0.90848676484029056</v>
      </c>
      <c r="T148" s="67">
        <v>0.1244137931034288</v>
      </c>
      <c r="U148" s="68">
        <v>0.13228963315486908</v>
      </c>
      <c r="V148" s="68">
        <v>-0.1243218407034874</v>
      </c>
      <c r="W148" s="69"/>
      <c r="X148" s="70">
        <v>38.079424999525379</v>
      </c>
      <c r="Y148" s="66">
        <v>17.09208957303537</v>
      </c>
      <c r="Z148" s="66">
        <v>0</v>
      </c>
      <c r="AA148" s="66">
        <v>20.987335426490009</v>
      </c>
      <c r="AB148" s="66">
        <v>10.15414847378546</v>
      </c>
      <c r="AC148" s="66">
        <v>24.030030672285289</v>
      </c>
      <c r="AD148" s="66">
        <v>49.281888538980212</v>
      </c>
      <c r="AE148" s="70">
        <v>0</v>
      </c>
      <c r="AF148" s="66">
        <v>0</v>
      </c>
      <c r="AG148" s="66">
        <v>0</v>
      </c>
      <c r="AH148" s="66">
        <v>5.0634459456036798E-2</v>
      </c>
      <c r="AI148" s="66">
        <v>22.362876983570128</v>
      </c>
      <c r="AJ148" s="66">
        <v>49.18053644835058</v>
      </c>
      <c r="AK148" s="66">
        <v>3.0258454564590278</v>
      </c>
      <c r="AL148" s="70">
        <v>38.835033829213067</v>
      </c>
      <c r="AM148" s="66">
        <v>5.2908465735574097</v>
      </c>
      <c r="AN148" s="66">
        <v>0</v>
      </c>
      <c r="AO148" s="66">
        <v>33.544187255655672</v>
      </c>
      <c r="AP148" s="66">
        <v>2.4381127935412921</v>
      </c>
      <c r="AQ148" s="71">
        <v>8.1435803535735278</v>
      </c>
      <c r="AR148" s="71">
        <v>78.767545468270853</v>
      </c>
      <c r="AS148" s="111"/>
      <c r="AT148">
        <f t="shared" si="5"/>
        <v>0.57413694871109133</v>
      </c>
      <c r="AU148" t="str">
        <f t="shared" si="4"/>
        <v>Morocco</v>
      </c>
    </row>
    <row r="149" spans="1:47">
      <c r="A149">
        <v>282</v>
      </c>
      <c r="B149" s="72" t="s">
        <v>409</v>
      </c>
      <c r="C149" s="73" t="s">
        <v>128</v>
      </c>
      <c r="D149" s="73">
        <v>2015</v>
      </c>
      <c r="E149" s="59">
        <v>23.5607321813144</v>
      </c>
      <c r="F149" s="60">
        <v>4.587242365719379</v>
      </c>
      <c r="G149" s="60">
        <v>35.866425439019842</v>
      </c>
      <c r="H149" s="61">
        <v>35.985600013946382</v>
      </c>
      <c r="I149" s="62">
        <v>0.76755517721176147</v>
      </c>
      <c r="J149" s="63">
        <v>-1.3840960264205933</v>
      </c>
      <c r="K149" s="64">
        <v>12.348491669158561</v>
      </c>
      <c r="L149" s="60">
        <v>2.5205787450264312</v>
      </c>
      <c r="M149" s="65">
        <v>37.963053878092524</v>
      </c>
      <c r="N149" s="61">
        <v>47.167875707722487</v>
      </c>
      <c r="O149" s="63">
        <v>0.62465518712997437</v>
      </c>
      <c r="P149" s="63">
        <v>-1.5410962104797363</v>
      </c>
      <c r="Q149" s="74">
        <v>47.153981556027141</v>
      </c>
      <c r="R149" s="66">
        <v>8.935999433835482</v>
      </c>
      <c r="S149" s="66">
        <v>31.454615189718879</v>
      </c>
      <c r="T149" s="67">
        <v>12.4554038204185</v>
      </c>
      <c r="U149" s="68">
        <v>0.86727452278137207</v>
      </c>
      <c r="V149" s="68">
        <v>-0.75372415781021118</v>
      </c>
      <c r="W149" s="69"/>
      <c r="X149" s="70">
        <v>0</v>
      </c>
      <c r="Y149" s="66">
        <v>0</v>
      </c>
      <c r="Z149" s="66">
        <v>0</v>
      </c>
      <c r="AA149" s="66">
        <v>0</v>
      </c>
      <c r="AB149" s="66">
        <v>17.74837111592921</v>
      </c>
      <c r="AC149" s="66">
        <v>5.0805299598321589</v>
      </c>
      <c r="AD149" s="66">
        <v>0.73183110555303743</v>
      </c>
      <c r="AE149" s="70">
        <v>12.15166906044384</v>
      </c>
      <c r="AF149" s="66">
        <v>12.15166906044384</v>
      </c>
      <c r="AG149" s="66">
        <v>0</v>
      </c>
      <c r="AH149" s="66">
        <v>0</v>
      </c>
      <c r="AI149" s="66">
        <v>11.87589385021298</v>
      </c>
      <c r="AJ149" s="66">
        <v>0.47259781894557212</v>
      </c>
      <c r="AK149" s="66">
        <v>0</v>
      </c>
      <c r="AL149" s="70">
        <v>0</v>
      </c>
      <c r="AM149" s="66">
        <v>0</v>
      </c>
      <c r="AN149" s="66">
        <v>0</v>
      </c>
      <c r="AO149" s="66">
        <v>0</v>
      </c>
      <c r="AP149" s="66">
        <v>30.038940067086809</v>
      </c>
      <c r="AQ149" s="71">
        <v>14.833346157289199</v>
      </c>
      <c r="AR149" s="71">
        <v>2.281695331651123</v>
      </c>
      <c r="AS149" s="111"/>
      <c r="AT149">
        <f t="shared" si="5"/>
        <v>1</v>
      </c>
      <c r="AU149" t="str">
        <f t="shared" si="4"/>
        <v>Mozambique</v>
      </c>
    </row>
    <row r="150" spans="1:47">
      <c r="A150">
        <v>284</v>
      </c>
      <c r="B150" s="72" t="s">
        <v>410</v>
      </c>
      <c r="C150" s="73" t="s">
        <v>129</v>
      </c>
      <c r="D150" s="73">
        <v>2015</v>
      </c>
      <c r="E150" s="59">
        <v>64.696473773834896</v>
      </c>
      <c r="F150" s="60">
        <v>10.69414151159835</v>
      </c>
      <c r="G150" s="60">
        <v>19.936436543138178</v>
      </c>
      <c r="H150" s="61">
        <v>4.6729481714285788</v>
      </c>
      <c r="I150" s="62">
        <v>-0.32559823989868164</v>
      </c>
      <c r="J150" s="63">
        <v>-0.43524542450904846</v>
      </c>
      <c r="K150" s="64">
        <v>58.651177556152398</v>
      </c>
      <c r="L150" s="60">
        <v>9.9557733784269526</v>
      </c>
      <c r="M150" s="65">
        <v>24.534906208277789</v>
      </c>
      <c r="N150" s="61">
        <v>6.858142857142866</v>
      </c>
      <c r="O150" s="63">
        <v>-0.42125147581100464</v>
      </c>
      <c r="P150" s="63">
        <v>-0.52560001611709595</v>
      </c>
      <c r="Q150" s="74">
        <v>76.3803587916574</v>
      </c>
      <c r="R150" s="66">
        <v>12.12120282640455</v>
      </c>
      <c r="S150" s="66">
        <v>11.04886695336663</v>
      </c>
      <c r="T150" s="67">
        <v>0.4495714285714314</v>
      </c>
      <c r="U150" s="68">
        <v>-0.37905141711235046</v>
      </c>
      <c r="V150" s="68">
        <v>-7.7600002288818359E-2</v>
      </c>
      <c r="W150" s="69"/>
      <c r="X150" s="70">
        <v>0</v>
      </c>
      <c r="Y150" s="66">
        <v>0</v>
      </c>
      <c r="Z150" s="66">
        <v>0</v>
      </c>
      <c r="AA150" s="66">
        <v>0</v>
      </c>
      <c r="AB150" s="66">
        <v>55.83997483696951</v>
      </c>
      <c r="AC150" s="66">
        <v>8.6572441575073409</v>
      </c>
      <c r="AD150" s="66">
        <v>0.19925477935803851</v>
      </c>
      <c r="AE150" s="70">
        <v>0</v>
      </c>
      <c r="AF150" s="66">
        <v>0</v>
      </c>
      <c r="AG150" s="66">
        <v>0</v>
      </c>
      <c r="AH150" s="66">
        <v>0</v>
      </c>
      <c r="AI150" s="66">
        <v>55.964161997010933</v>
      </c>
      <c r="AJ150" s="66">
        <v>2.635901003246369</v>
      </c>
      <c r="AK150" s="66">
        <v>5.11145558950995E-2</v>
      </c>
      <c r="AL150" s="70">
        <v>0</v>
      </c>
      <c r="AM150" s="66">
        <v>0</v>
      </c>
      <c r="AN150" s="66">
        <v>0</v>
      </c>
      <c r="AO150" s="66">
        <v>0</v>
      </c>
      <c r="AP150" s="66">
        <v>55.501493374711693</v>
      </c>
      <c r="AQ150" s="71">
        <v>20.39090923588136</v>
      </c>
      <c r="AR150" s="71">
        <v>0.48795618106436511</v>
      </c>
      <c r="AS150" s="111"/>
      <c r="AT150">
        <f t="shared" si="5"/>
        <v>1</v>
      </c>
      <c r="AU150" t="str">
        <f t="shared" si="4"/>
        <v>Myanmar</v>
      </c>
    </row>
    <row r="151" spans="1:47">
      <c r="A151">
        <v>286</v>
      </c>
      <c r="B151" s="72" t="s">
        <v>411</v>
      </c>
      <c r="C151" s="73" t="s">
        <v>130</v>
      </c>
      <c r="D151" s="73">
        <v>2015</v>
      </c>
      <c r="E151" s="59">
        <v>33.836767241045941</v>
      </c>
      <c r="F151" s="60">
        <v>11.41823910421345</v>
      </c>
      <c r="G151" s="60">
        <v>4.8672380518783616</v>
      </c>
      <c r="H151" s="61">
        <v>49.877755602862251</v>
      </c>
      <c r="I151" s="62">
        <v>0.36507362127304077</v>
      </c>
      <c r="J151" s="63">
        <v>-0.39006105065345764</v>
      </c>
      <c r="K151" s="64">
        <v>15.434666331810689</v>
      </c>
      <c r="L151" s="60">
        <v>3.3086163157742901</v>
      </c>
      <c r="M151" s="65">
        <v>5.3439087656529409</v>
      </c>
      <c r="N151" s="61">
        <v>75.912808586762083</v>
      </c>
      <c r="O151" s="63">
        <v>8.0172479152679443E-2</v>
      </c>
      <c r="P151" s="63">
        <v>5.0161000341176987E-2</v>
      </c>
      <c r="Q151" s="74">
        <v>54.873373809811667</v>
      </c>
      <c r="R151" s="66">
        <v>20.68886232614539</v>
      </c>
      <c r="S151" s="66">
        <v>4.3223255813953756</v>
      </c>
      <c r="T151" s="67">
        <v>20.11543828264757</v>
      </c>
      <c r="U151" s="68">
        <v>-0.20012100040912628</v>
      </c>
      <c r="V151" s="68">
        <v>0.3319678008556366</v>
      </c>
      <c r="W151" s="69"/>
      <c r="X151" s="70">
        <v>0</v>
      </c>
      <c r="Y151" s="66">
        <v>0</v>
      </c>
      <c r="Z151" s="66">
        <v>0</v>
      </c>
      <c r="AA151" s="66">
        <v>0</v>
      </c>
      <c r="AB151" s="66">
        <v>6.512347110759789</v>
      </c>
      <c r="AC151" s="66">
        <v>0.9963678386318201</v>
      </c>
      <c r="AD151" s="66">
        <v>26.328052291654341</v>
      </c>
      <c r="AE151" s="70">
        <v>0</v>
      </c>
      <c r="AF151" s="66">
        <v>0</v>
      </c>
      <c r="AG151" s="66">
        <v>0</v>
      </c>
      <c r="AH151" s="66">
        <v>0</v>
      </c>
      <c r="AI151" s="66">
        <v>8.6035708030656828</v>
      </c>
      <c r="AJ151" s="66">
        <v>1.5834489978358799</v>
      </c>
      <c r="AK151" s="66">
        <v>5.247646530909126</v>
      </c>
      <c r="AL151" s="70">
        <v>0</v>
      </c>
      <c r="AM151" s="66">
        <v>0</v>
      </c>
      <c r="AN151" s="66">
        <v>0</v>
      </c>
      <c r="AO151" s="66">
        <v>0</v>
      </c>
      <c r="AP151" s="66">
        <v>4.8824131048459707</v>
      </c>
      <c r="AQ151" s="71">
        <v>0.47769257669540022</v>
      </c>
      <c r="AR151" s="71">
        <v>49.513268128270298</v>
      </c>
      <c r="AS151" s="111"/>
      <c r="AT151">
        <f t="shared" si="5"/>
        <v>1</v>
      </c>
      <c r="AU151" t="str">
        <f t="shared" si="4"/>
        <v>Namibia</v>
      </c>
    </row>
    <row r="152" spans="1:47">
      <c r="A152">
        <v>288</v>
      </c>
      <c r="B152" s="72" t="s">
        <v>412</v>
      </c>
      <c r="C152" s="73" t="s">
        <v>131</v>
      </c>
      <c r="D152" s="73">
        <v>2015</v>
      </c>
      <c r="E152" s="59">
        <v>65.595526425288767</v>
      </c>
      <c r="F152" s="60">
        <v>30.726832495840121</v>
      </c>
      <c r="G152" s="60">
        <v>1.0887552772595801</v>
      </c>
      <c r="H152" s="61">
        <v>2.588885801611525</v>
      </c>
      <c r="I152" s="62">
        <v>-7.1017672307789326E-3</v>
      </c>
      <c r="J152" s="63">
        <v>0.11274613440036774</v>
      </c>
      <c r="K152" s="64">
        <v>0</v>
      </c>
      <c r="L152" s="60">
        <v>0</v>
      </c>
      <c r="M152" s="65">
        <v>0</v>
      </c>
      <c r="N152" s="61">
        <v>0</v>
      </c>
      <c r="O152" s="63">
        <v>0</v>
      </c>
      <c r="P152" s="63">
        <v>0</v>
      </c>
      <c r="Q152" s="74">
        <v>65.595526425288767</v>
      </c>
      <c r="R152" s="66">
        <v>30.726832495840121</v>
      </c>
      <c r="S152" s="66">
        <v>1.0887552772595801</v>
      </c>
      <c r="T152" s="67">
        <v>2.588885801611525</v>
      </c>
      <c r="U152" s="68">
        <v>-7.1017672307789326E-3</v>
      </c>
      <c r="V152" s="68">
        <v>0.11274613440036774</v>
      </c>
      <c r="W152" s="69"/>
      <c r="X152" s="70">
        <v>0</v>
      </c>
      <c r="Y152" s="66">
        <v>0</v>
      </c>
      <c r="Z152" s="66">
        <v>0</v>
      </c>
      <c r="AA152" s="66">
        <v>0</v>
      </c>
      <c r="AB152" s="66">
        <v>30.010654575288768</v>
      </c>
      <c r="AC152" s="66">
        <v>19.855542450000002</v>
      </c>
      <c r="AD152" s="66">
        <v>15.729329399999999</v>
      </c>
      <c r="AE152" s="70">
        <v>0</v>
      </c>
      <c r="AF152" s="66">
        <v>0</v>
      </c>
      <c r="AG152" s="66">
        <v>0</v>
      </c>
      <c r="AH152" s="66">
        <v>0</v>
      </c>
      <c r="AI152" s="66">
        <v>0</v>
      </c>
      <c r="AJ152" s="66">
        <v>0</v>
      </c>
      <c r="AK152" s="66">
        <v>0</v>
      </c>
      <c r="AL152" s="70">
        <v>0</v>
      </c>
      <c r="AM152" s="66">
        <v>0</v>
      </c>
      <c r="AN152" s="66">
        <v>0</v>
      </c>
      <c r="AO152" s="66">
        <v>0</v>
      </c>
      <c r="AP152" s="66">
        <v>30.010654575288779</v>
      </c>
      <c r="AQ152" s="71">
        <v>19.855542450000002</v>
      </c>
      <c r="AR152" s="71">
        <v>15.729329399999999</v>
      </c>
      <c r="AS152" s="111"/>
      <c r="AT152">
        <f t="shared" si="5"/>
        <v>1</v>
      </c>
      <c r="AU152" t="str">
        <f t="shared" si="4"/>
        <v>Nauru</v>
      </c>
    </row>
    <row r="153" spans="1:47">
      <c r="A153">
        <v>290</v>
      </c>
      <c r="B153" s="72" t="s">
        <v>413</v>
      </c>
      <c r="C153" s="73" t="s">
        <v>132</v>
      </c>
      <c r="D153" s="73">
        <v>2015</v>
      </c>
      <c r="E153" s="59">
        <v>46.126590598849653</v>
      </c>
      <c r="F153" s="60">
        <v>19.19592958013596</v>
      </c>
      <c r="G153" s="60">
        <v>4.8505773638036827</v>
      </c>
      <c r="H153" s="61">
        <v>29.8269024572107</v>
      </c>
      <c r="I153" s="62">
        <v>1.7956705093383789</v>
      </c>
      <c r="J153" s="63">
        <v>-2.3181478977203369</v>
      </c>
      <c r="K153" s="64">
        <v>44.679052454467183</v>
      </c>
      <c r="L153" s="60">
        <v>14.487363515968809</v>
      </c>
      <c r="M153" s="65">
        <v>5.5400452005287661</v>
      </c>
      <c r="N153" s="61">
        <v>35.293538829035242</v>
      </c>
      <c r="O153" s="63">
        <v>1.9308122396469116</v>
      </c>
      <c r="P153" s="63">
        <v>-2.4019238948822021</v>
      </c>
      <c r="Q153" s="74">
        <v>52.455244473712277</v>
      </c>
      <c r="R153" s="66">
        <v>39.78183606051433</v>
      </c>
      <c r="S153" s="66">
        <v>1.8362158332170111</v>
      </c>
      <c r="T153" s="67">
        <v>5.9267036325563822</v>
      </c>
      <c r="U153" s="68">
        <v>0.72452676296234131</v>
      </c>
      <c r="V153" s="68">
        <v>-1.022520899772644</v>
      </c>
      <c r="W153" s="69"/>
      <c r="X153" s="70">
        <v>0</v>
      </c>
      <c r="Y153" s="66">
        <v>0</v>
      </c>
      <c r="Z153" s="66">
        <v>0</v>
      </c>
      <c r="AA153" s="66">
        <v>0</v>
      </c>
      <c r="AB153" s="66">
        <v>8.5204522631635413</v>
      </c>
      <c r="AC153" s="66">
        <v>32.57945011774558</v>
      </c>
      <c r="AD153" s="66">
        <v>5.0266882179405332</v>
      </c>
      <c r="AE153" s="70">
        <v>0</v>
      </c>
      <c r="AF153" s="66">
        <v>0</v>
      </c>
      <c r="AG153" s="66">
        <v>0</v>
      </c>
      <c r="AH153" s="66">
        <v>0</v>
      </c>
      <c r="AI153" s="66">
        <v>10.18102500179713</v>
      </c>
      <c r="AJ153" s="66">
        <v>32.581519450920787</v>
      </c>
      <c r="AK153" s="66">
        <v>1.9165080017492671</v>
      </c>
      <c r="AL153" s="70">
        <v>0</v>
      </c>
      <c r="AM153" s="66">
        <v>0</v>
      </c>
      <c r="AN153" s="66">
        <v>0</v>
      </c>
      <c r="AO153" s="66">
        <v>0</v>
      </c>
      <c r="AP153" s="66">
        <v>3.3415152570432172</v>
      </c>
      <c r="AQ153" s="71">
        <v>33.676254341459</v>
      </c>
      <c r="AR153" s="71">
        <v>15.43747487521007</v>
      </c>
      <c r="AS153" s="111"/>
      <c r="AT153">
        <f t="shared" si="5"/>
        <v>1</v>
      </c>
      <c r="AU153" t="str">
        <f t="shared" si="4"/>
        <v>Nepal</v>
      </c>
    </row>
    <row r="154" spans="1:47">
      <c r="A154">
        <v>292</v>
      </c>
      <c r="B154" s="72" t="s">
        <v>414</v>
      </c>
      <c r="C154" s="73" t="s">
        <v>133</v>
      </c>
      <c r="D154" s="73">
        <v>2015</v>
      </c>
      <c r="E154" s="59">
        <v>97.726966273692398</v>
      </c>
      <c r="F154" s="60">
        <v>2.2719123910558041</v>
      </c>
      <c r="G154" s="60">
        <v>1.1213352518098E-3</v>
      </c>
      <c r="H154" s="61">
        <v>0</v>
      </c>
      <c r="I154" s="62">
        <v>-2.1995365619659424E-2</v>
      </c>
      <c r="J154" s="63">
        <v>0</v>
      </c>
      <c r="K154" s="64">
        <v>99.888113149120343</v>
      </c>
      <c r="L154" s="60">
        <v>0.1000882897285775</v>
      </c>
      <c r="M154" s="65">
        <v>1.17985611510676E-2</v>
      </c>
      <c r="N154" s="61">
        <v>0</v>
      </c>
      <c r="O154" s="63">
        <v>-7.8578339889645576E-4</v>
      </c>
      <c r="P154" s="63">
        <v>0</v>
      </c>
      <c r="Q154" s="74">
        <v>97.5</v>
      </c>
      <c r="R154" s="66">
        <v>2.5</v>
      </c>
      <c r="S154" s="66">
        <v>0</v>
      </c>
      <c r="T154" s="67">
        <v>0</v>
      </c>
      <c r="U154" s="68">
        <v>0</v>
      </c>
      <c r="V154" s="68">
        <v>0</v>
      </c>
      <c r="W154" s="69"/>
      <c r="X154" s="70">
        <v>97.456225579635074</v>
      </c>
      <c r="Y154" s="66">
        <v>0.2707406940573141</v>
      </c>
      <c r="Z154" s="66">
        <v>0</v>
      </c>
      <c r="AA154" s="66">
        <v>97.185484885577765</v>
      </c>
      <c r="AB154" s="66">
        <v>1.2261595446757E-3</v>
      </c>
      <c r="AC154" s="66">
        <v>0.54025522856995245</v>
      </c>
      <c r="AD154" s="66">
        <v>97.185484885577765</v>
      </c>
      <c r="AE154" s="70">
        <v>96.976103054237242</v>
      </c>
      <c r="AF154" s="66">
        <v>2.9120100948831098</v>
      </c>
      <c r="AG154" s="66">
        <v>0</v>
      </c>
      <c r="AH154" s="66">
        <v>94.064092959354127</v>
      </c>
      <c r="AI154" s="66">
        <v>1.3188224195435701E-2</v>
      </c>
      <c r="AJ154" s="66">
        <v>5.8108319655707836</v>
      </c>
      <c r="AK154" s="66">
        <v>94.064092959354127</v>
      </c>
      <c r="AL154" s="70">
        <v>97.5</v>
      </c>
      <c r="AM154" s="66">
        <v>0</v>
      </c>
      <c r="AN154" s="66">
        <v>0</v>
      </c>
      <c r="AO154" s="66">
        <v>97.5</v>
      </c>
      <c r="AP154" s="66">
        <v>0</v>
      </c>
      <c r="AQ154" s="71">
        <v>0</v>
      </c>
      <c r="AR154" s="71">
        <v>97.5</v>
      </c>
      <c r="AS154" s="111"/>
      <c r="AT154">
        <f t="shared" si="5"/>
        <v>0</v>
      </c>
      <c r="AU154" t="str">
        <f t="shared" si="4"/>
        <v>Netherlands</v>
      </c>
    </row>
    <row r="155" spans="1:47">
      <c r="A155">
        <v>294</v>
      </c>
      <c r="B155" s="72" t="s">
        <v>415</v>
      </c>
      <c r="C155" s="73" t="s">
        <v>134</v>
      </c>
      <c r="D155" s="73">
        <v>2015</v>
      </c>
      <c r="E155" s="59">
        <v>100</v>
      </c>
      <c r="F155" s="60">
        <v>0</v>
      </c>
      <c r="G155" s="60">
        <v>0</v>
      </c>
      <c r="H155" s="61">
        <v>0</v>
      </c>
      <c r="I155" s="62">
        <v>0</v>
      </c>
      <c r="J155" s="63">
        <v>0</v>
      </c>
      <c r="K155" s="64">
        <v>0</v>
      </c>
      <c r="L155" s="60">
        <v>0</v>
      </c>
      <c r="M155" s="65">
        <v>0</v>
      </c>
      <c r="N155" s="61">
        <v>0</v>
      </c>
      <c r="O155" s="63">
        <v>0</v>
      </c>
      <c r="P155" s="63">
        <v>0</v>
      </c>
      <c r="Q155" s="74">
        <v>0</v>
      </c>
      <c r="R155" s="66">
        <v>0</v>
      </c>
      <c r="S155" s="66">
        <v>0</v>
      </c>
      <c r="T155" s="67">
        <v>0</v>
      </c>
      <c r="U155" s="68">
        <v>0</v>
      </c>
      <c r="V155" s="68">
        <v>0</v>
      </c>
      <c r="W155" s="69"/>
      <c r="X155" s="70">
        <v>0</v>
      </c>
      <c r="Y155" s="66">
        <v>0</v>
      </c>
      <c r="Z155" s="66">
        <v>0</v>
      </c>
      <c r="AA155" s="66">
        <v>0</v>
      </c>
      <c r="AB155" s="66">
        <v>0</v>
      </c>
      <c r="AC155" s="66">
        <v>0</v>
      </c>
      <c r="AD155" s="66">
        <v>0</v>
      </c>
      <c r="AE155" s="70">
        <v>0</v>
      </c>
      <c r="AF155" s="66">
        <v>0</v>
      </c>
      <c r="AG155" s="66">
        <v>0</v>
      </c>
      <c r="AH155" s="66">
        <v>0</v>
      </c>
      <c r="AI155" s="66">
        <v>0</v>
      </c>
      <c r="AJ155" s="66">
        <v>0</v>
      </c>
      <c r="AK155" s="66">
        <v>0</v>
      </c>
      <c r="AL155" s="70">
        <v>0</v>
      </c>
      <c r="AM155" s="66">
        <v>0</v>
      </c>
      <c r="AN155" s="66">
        <v>0</v>
      </c>
      <c r="AO155" s="66">
        <v>0</v>
      </c>
      <c r="AP155" s="66">
        <v>0</v>
      </c>
      <c r="AQ155" s="71">
        <v>0</v>
      </c>
      <c r="AR155" s="71">
        <v>0</v>
      </c>
      <c r="AS155" s="111"/>
      <c r="AT155" t="e">
        <f t="shared" si="5"/>
        <v>#DIV/0!</v>
      </c>
      <c r="AU155" t="str">
        <f t="shared" si="4"/>
        <v>New Caledonia</v>
      </c>
    </row>
    <row r="156" spans="1:47">
      <c r="A156">
        <v>296</v>
      </c>
      <c r="B156" s="72" t="s">
        <v>416</v>
      </c>
      <c r="C156" s="73" t="s">
        <v>135</v>
      </c>
      <c r="D156" s="73">
        <v>2015</v>
      </c>
      <c r="E156" s="59">
        <v>100</v>
      </c>
      <c r="F156" s="60">
        <v>0</v>
      </c>
      <c r="G156" s="60">
        <v>0</v>
      </c>
      <c r="H156" s="61">
        <v>0</v>
      </c>
      <c r="I156" s="62">
        <v>0</v>
      </c>
      <c r="J156" s="63">
        <v>0</v>
      </c>
      <c r="K156" s="64">
        <v>100</v>
      </c>
      <c r="L156" s="60">
        <v>0</v>
      </c>
      <c r="M156" s="65">
        <v>0</v>
      </c>
      <c r="N156" s="61">
        <v>0</v>
      </c>
      <c r="O156" s="63">
        <v>0</v>
      </c>
      <c r="P156" s="63">
        <v>0</v>
      </c>
      <c r="Q156" s="74">
        <v>100</v>
      </c>
      <c r="R156" s="66">
        <v>0</v>
      </c>
      <c r="S156" s="66">
        <v>0</v>
      </c>
      <c r="T156" s="67">
        <v>0</v>
      </c>
      <c r="U156" s="68">
        <v>0</v>
      </c>
      <c r="V156" s="68">
        <v>0</v>
      </c>
      <c r="W156" s="69"/>
      <c r="X156" s="70">
        <v>75.93174603174603</v>
      </c>
      <c r="Y156" s="66">
        <v>8.8142857142857167</v>
      </c>
      <c r="Z156" s="66">
        <v>0</v>
      </c>
      <c r="AA156" s="66">
        <v>67.117460317460313</v>
      </c>
      <c r="AB156" s="66">
        <v>5.6285714285714334</v>
      </c>
      <c r="AC156" s="66">
        <v>12</v>
      </c>
      <c r="AD156" s="66">
        <v>82.371428571428567</v>
      </c>
      <c r="AE156" s="70">
        <v>0</v>
      </c>
      <c r="AF156" s="66">
        <v>0</v>
      </c>
      <c r="AG156" s="66">
        <v>0</v>
      </c>
      <c r="AH156" s="66">
        <v>0</v>
      </c>
      <c r="AI156" s="66">
        <v>0</v>
      </c>
      <c r="AJ156" s="66">
        <v>0</v>
      </c>
      <c r="AK156" s="66">
        <v>0</v>
      </c>
      <c r="AL156" s="70">
        <v>0</v>
      </c>
      <c r="AM156" s="66">
        <v>0</v>
      </c>
      <c r="AN156" s="66">
        <v>0</v>
      </c>
      <c r="AO156" s="66">
        <v>0</v>
      </c>
      <c r="AP156" s="66">
        <v>0</v>
      </c>
      <c r="AQ156" s="71">
        <v>0</v>
      </c>
      <c r="AR156" s="71">
        <v>0</v>
      </c>
      <c r="AS156" s="111"/>
      <c r="AT156">
        <f t="shared" si="5"/>
        <v>0.18518518518518517</v>
      </c>
      <c r="AU156" t="str">
        <f t="shared" si="4"/>
        <v>New Zealand</v>
      </c>
    </row>
    <row r="157" spans="1:47">
      <c r="A157">
        <v>298</v>
      </c>
      <c r="B157" s="72" t="s">
        <v>417</v>
      </c>
      <c r="C157" s="73" t="s">
        <v>136</v>
      </c>
      <c r="D157" s="73">
        <v>2015</v>
      </c>
      <c r="E157" s="59">
        <v>76.34918522647267</v>
      </c>
      <c r="F157" s="60">
        <v>2.844973051269343</v>
      </c>
      <c r="G157" s="60">
        <v>13.83909675556375</v>
      </c>
      <c r="H157" s="61">
        <v>6.9667449666942414</v>
      </c>
      <c r="I157" s="62">
        <v>1.0614467859268188</v>
      </c>
      <c r="J157" s="63">
        <v>-0.59541165828704834</v>
      </c>
      <c r="K157" s="64">
        <v>62.809987924207697</v>
      </c>
      <c r="L157" s="60">
        <v>2.4834744486856701</v>
      </c>
      <c r="M157" s="65">
        <v>19.50391322868882</v>
      </c>
      <c r="N157" s="61">
        <v>15.202624398417811</v>
      </c>
      <c r="O157" s="63">
        <v>1.1788411140441895</v>
      </c>
      <c r="P157" s="63">
        <v>-0.96703547239303589</v>
      </c>
      <c r="Q157" s="74">
        <v>85.844060130718475</v>
      </c>
      <c r="R157" s="66">
        <v>3.0984876380622728</v>
      </c>
      <c r="S157" s="66">
        <v>9.8664296493066104</v>
      </c>
      <c r="T157" s="67">
        <v>1.1910225819126481</v>
      </c>
      <c r="U157" s="68">
        <v>0.85097610950469971</v>
      </c>
      <c r="V157" s="68">
        <v>-0.21913109719753265</v>
      </c>
      <c r="W157" s="69"/>
      <c r="X157" s="70">
        <v>0</v>
      </c>
      <c r="Y157" s="66">
        <v>0</v>
      </c>
      <c r="Z157" s="66">
        <v>0</v>
      </c>
      <c r="AA157" s="66">
        <v>7.9056794884314376</v>
      </c>
      <c r="AB157" s="66">
        <v>43.406704095560791</v>
      </c>
      <c r="AC157" s="66">
        <v>9.690482635525294</v>
      </c>
      <c r="AD157" s="66">
        <v>23.25199849538658</v>
      </c>
      <c r="AE157" s="70">
        <v>0</v>
      </c>
      <c r="AF157" s="66">
        <v>0</v>
      </c>
      <c r="AG157" s="66">
        <v>0</v>
      </c>
      <c r="AH157" s="66">
        <v>0.17311828917285649</v>
      </c>
      <c r="AI157" s="66">
        <v>58.960784679388659</v>
      </c>
      <c r="AJ157" s="66">
        <v>3.340031806075348</v>
      </c>
      <c r="AK157" s="66">
        <v>0.50917143874369541</v>
      </c>
      <c r="AL157" s="70">
        <v>0</v>
      </c>
      <c r="AM157" s="66">
        <v>0</v>
      </c>
      <c r="AN157" s="66">
        <v>0</v>
      </c>
      <c r="AO157" s="66">
        <v>13.343192948760141</v>
      </c>
      <c r="AP157" s="66">
        <v>32.444597042790491</v>
      </c>
      <c r="AQ157" s="71">
        <v>14.154777944515819</v>
      </c>
      <c r="AR157" s="71">
        <v>39.24468514341217</v>
      </c>
      <c r="AS157" s="111"/>
      <c r="AT157">
        <f t="shared" si="5"/>
        <v>0.65999999999999992</v>
      </c>
      <c r="AU157" t="str">
        <f t="shared" si="4"/>
        <v>Nicaragua</v>
      </c>
    </row>
    <row r="158" spans="1:47">
      <c r="A158">
        <v>300</v>
      </c>
      <c r="B158" s="72" t="s">
        <v>418</v>
      </c>
      <c r="C158" s="73" t="s">
        <v>137</v>
      </c>
      <c r="D158" s="73">
        <v>2015</v>
      </c>
      <c r="E158" s="59">
        <v>12.93732772835458</v>
      </c>
      <c r="F158" s="60">
        <v>7.7382391644011328</v>
      </c>
      <c r="G158" s="60">
        <v>8.0146603082215062</v>
      </c>
      <c r="H158" s="61">
        <v>71.309772799022781</v>
      </c>
      <c r="I158" s="62">
        <v>0.46339023113250732</v>
      </c>
      <c r="J158" s="63">
        <v>-0.68184512853622437</v>
      </c>
      <c r="K158" s="64">
        <v>5.8766293838576233</v>
      </c>
      <c r="L158" s="60">
        <v>3.0149501896223079</v>
      </c>
      <c r="M158" s="65">
        <v>6.2713307640058247</v>
      </c>
      <c r="N158" s="61">
        <v>84.837089662514245</v>
      </c>
      <c r="O158" s="63">
        <v>0.24613139033317566</v>
      </c>
      <c r="P158" s="63">
        <v>-0.53548967838287354</v>
      </c>
      <c r="Q158" s="74">
        <v>43.569872734791623</v>
      </c>
      <c r="R158" s="66">
        <v>28.230031199545561</v>
      </c>
      <c r="S158" s="66">
        <v>15.578022757469849</v>
      </c>
      <c r="T158" s="67">
        <v>12.62207330819297</v>
      </c>
      <c r="U158" s="68">
        <v>1.1931277513504028</v>
      </c>
      <c r="V158" s="68">
        <v>-0.68242228031158447</v>
      </c>
      <c r="W158" s="69"/>
      <c r="X158" s="70">
        <v>8.5321598495766562</v>
      </c>
      <c r="Y158" s="66">
        <v>8.3138699889352647</v>
      </c>
      <c r="Z158" s="66">
        <v>0</v>
      </c>
      <c r="AA158" s="66">
        <v>0.21828986064139161</v>
      </c>
      <c r="AB158" s="66">
        <v>10.635930100184099</v>
      </c>
      <c r="AC158" s="66">
        <v>1.8648179068876869</v>
      </c>
      <c r="AD158" s="66">
        <v>0.43657972128278322</v>
      </c>
      <c r="AE158" s="70">
        <v>5.4926447637102171</v>
      </c>
      <c r="AF158" s="66">
        <v>5.4136068825257411</v>
      </c>
      <c r="AG158" s="66">
        <v>0</v>
      </c>
      <c r="AH158" s="66">
        <v>7.9037881184475703E-2</v>
      </c>
      <c r="AI158" s="66">
        <v>5.3432329677094836</v>
      </c>
      <c r="AJ158" s="66">
        <v>0.37532065377918777</v>
      </c>
      <c r="AK158" s="66">
        <v>0.15807576236895141</v>
      </c>
      <c r="AL158" s="70">
        <v>23.958327116843819</v>
      </c>
      <c r="AM158" s="66">
        <v>23.14304232772378</v>
      </c>
      <c r="AN158" s="66">
        <v>0</v>
      </c>
      <c r="AO158" s="66">
        <v>0.81528478912004276</v>
      </c>
      <c r="AP158" s="66">
        <v>33.779886273234013</v>
      </c>
      <c r="AQ158" s="71">
        <v>8.1594168833175189</v>
      </c>
      <c r="AR158" s="71">
        <v>1.630569578240086</v>
      </c>
      <c r="AS158" s="111"/>
      <c r="AT158">
        <f t="shared" si="5"/>
        <v>0.5</v>
      </c>
      <c r="AU158" t="str">
        <f t="shared" si="4"/>
        <v>Niger</v>
      </c>
    </row>
    <row r="159" spans="1:47">
      <c r="A159">
        <v>302</v>
      </c>
      <c r="B159" s="72" t="s">
        <v>419</v>
      </c>
      <c r="C159" s="73" t="s">
        <v>138</v>
      </c>
      <c r="D159" s="73">
        <v>2015</v>
      </c>
      <c r="E159" s="59">
        <v>32.600957001043632</v>
      </c>
      <c r="F159" s="60">
        <v>21.62391752392065</v>
      </c>
      <c r="G159" s="60">
        <v>20.237580716865359</v>
      </c>
      <c r="H159" s="61">
        <v>25.537544758170348</v>
      </c>
      <c r="I159" s="62">
        <v>-0.25729173421859741</v>
      </c>
      <c r="J159" s="63">
        <v>0.19283688068389893</v>
      </c>
      <c r="K159" s="64">
        <v>26.972904099666628</v>
      </c>
      <c r="L159" s="60">
        <v>9.8087440996224355</v>
      </c>
      <c r="M159" s="65">
        <v>27.553359557892801</v>
      </c>
      <c r="N159" s="61">
        <v>35.66499224281813</v>
      </c>
      <c r="O159" s="63">
        <v>-0.53339076042175293</v>
      </c>
      <c r="P159" s="63">
        <v>0.41348382830619812</v>
      </c>
      <c r="Q159" s="74">
        <v>38.752988035904501</v>
      </c>
      <c r="R159" s="66">
        <v>34.53909704733303</v>
      </c>
      <c r="S159" s="66">
        <v>12.24069453564849</v>
      </c>
      <c r="T159" s="67">
        <v>14.467220381113981</v>
      </c>
      <c r="U159" s="68">
        <v>-3.2507974654436111E-2</v>
      </c>
      <c r="V159" s="68">
        <v>0.30488055944442749</v>
      </c>
      <c r="W159" s="69"/>
      <c r="X159" s="70">
        <v>0</v>
      </c>
      <c r="Y159" s="66">
        <v>0</v>
      </c>
      <c r="Z159" s="66">
        <v>0</v>
      </c>
      <c r="AA159" s="66">
        <v>0</v>
      </c>
      <c r="AB159" s="66">
        <v>18.2569888783576</v>
      </c>
      <c r="AC159" s="66">
        <v>9.2269411429839057</v>
      </c>
      <c r="AD159" s="66">
        <v>5.1170269797021417</v>
      </c>
      <c r="AE159" s="70">
        <v>0</v>
      </c>
      <c r="AF159" s="66">
        <v>0</v>
      </c>
      <c r="AG159" s="66">
        <v>0</v>
      </c>
      <c r="AH159" s="66">
        <v>0</v>
      </c>
      <c r="AI159" s="66">
        <v>20.663211296582642</v>
      </c>
      <c r="AJ159" s="66">
        <v>4.0041234845609104</v>
      </c>
      <c r="AK159" s="66">
        <v>2.3055693185230819</v>
      </c>
      <c r="AL159" s="70">
        <v>0</v>
      </c>
      <c r="AM159" s="66">
        <v>0</v>
      </c>
      <c r="AN159" s="66">
        <v>0</v>
      </c>
      <c r="AO159" s="66">
        <v>0</v>
      </c>
      <c r="AP159" s="66">
        <v>17.321635079789321</v>
      </c>
      <c r="AQ159" s="71">
        <v>13.829078431498591</v>
      </c>
      <c r="AR159" s="71">
        <v>7.6022745246165933</v>
      </c>
      <c r="AS159" s="111"/>
      <c r="AT159">
        <f t="shared" si="5"/>
        <v>1</v>
      </c>
      <c r="AU159" t="str">
        <f t="shared" si="4"/>
        <v>Nigeria</v>
      </c>
    </row>
    <row r="160" spans="1:47">
      <c r="A160">
        <v>304</v>
      </c>
      <c r="B160" s="72" t="s">
        <v>420</v>
      </c>
      <c r="C160" s="73" t="s">
        <v>139</v>
      </c>
      <c r="D160" s="73">
        <v>2015</v>
      </c>
      <c r="E160" s="59">
        <v>96.77148846960165</v>
      </c>
      <c r="F160" s="60">
        <v>0</v>
      </c>
      <c r="G160" s="60">
        <v>3.2285115303983498</v>
      </c>
      <c r="H160" s="61">
        <v>0</v>
      </c>
      <c r="I160" s="62">
        <v>-0.21523410081863403</v>
      </c>
      <c r="J160" s="63">
        <v>0</v>
      </c>
      <c r="K160" s="64">
        <v>0</v>
      </c>
      <c r="L160" s="60">
        <v>0</v>
      </c>
      <c r="M160" s="65">
        <v>0</v>
      </c>
      <c r="N160" s="61">
        <v>0</v>
      </c>
      <c r="O160" s="63">
        <v>0</v>
      </c>
      <c r="P160" s="63">
        <v>0</v>
      </c>
      <c r="Q160" s="74">
        <v>0</v>
      </c>
      <c r="R160" s="66">
        <v>0</v>
      </c>
      <c r="S160" s="66">
        <v>0</v>
      </c>
      <c r="T160" s="67">
        <v>0</v>
      </c>
      <c r="U160" s="68">
        <v>0</v>
      </c>
      <c r="V160" s="68">
        <v>0</v>
      </c>
      <c r="W160" s="69"/>
      <c r="X160" s="70">
        <v>0</v>
      </c>
      <c r="Y160" s="66">
        <v>0</v>
      </c>
      <c r="Z160" s="66">
        <v>0</v>
      </c>
      <c r="AA160" s="66">
        <v>0</v>
      </c>
      <c r="AB160" s="66">
        <v>11.77148846960165</v>
      </c>
      <c r="AC160" s="66">
        <v>78</v>
      </c>
      <c r="AD160" s="66">
        <v>7</v>
      </c>
      <c r="AE160" s="70">
        <v>0</v>
      </c>
      <c r="AF160" s="66">
        <v>0</v>
      </c>
      <c r="AG160" s="66">
        <v>0</v>
      </c>
      <c r="AH160" s="66">
        <v>0</v>
      </c>
      <c r="AI160" s="66">
        <v>0</v>
      </c>
      <c r="AJ160" s="66">
        <v>0</v>
      </c>
      <c r="AK160" s="66">
        <v>0</v>
      </c>
      <c r="AL160" s="70">
        <v>0</v>
      </c>
      <c r="AM160" s="66">
        <v>0</v>
      </c>
      <c r="AN160" s="66">
        <v>0</v>
      </c>
      <c r="AO160" s="66">
        <v>0</v>
      </c>
      <c r="AP160" s="66">
        <v>0</v>
      </c>
      <c r="AQ160" s="71">
        <v>0</v>
      </c>
      <c r="AR160" s="71">
        <v>0</v>
      </c>
      <c r="AS160" s="111"/>
      <c r="AT160">
        <f t="shared" si="5"/>
        <v>1</v>
      </c>
      <c r="AU160" t="str">
        <f t="shared" si="4"/>
        <v>Niue</v>
      </c>
    </row>
    <row r="161" spans="1:47">
      <c r="A161">
        <v>306</v>
      </c>
      <c r="B161" s="72" t="s">
        <v>421</v>
      </c>
      <c r="C161" s="73" t="s">
        <v>140</v>
      </c>
      <c r="D161" s="73">
        <v>2015</v>
      </c>
      <c r="E161" s="59">
        <v>78.83759201387042</v>
      </c>
      <c r="F161" s="60">
        <v>18.748468719545411</v>
      </c>
      <c r="G161" s="60">
        <v>2.1790814173876409</v>
      </c>
      <c r="H161" s="61">
        <v>0.23485784919653899</v>
      </c>
      <c r="I161" s="62">
        <v>0.33517226576805115</v>
      </c>
      <c r="J161" s="63">
        <v>0</v>
      </c>
      <c r="K161" s="64">
        <v>0</v>
      </c>
      <c r="L161" s="60">
        <v>0</v>
      </c>
      <c r="M161" s="65">
        <v>0</v>
      </c>
      <c r="N161" s="61">
        <v>0</v>
      </c>
      <c r="O161" s="63">
        <v>0</v>
      </c>
      <c r="P161" s="63">
        <v>0</v>
      </c>
      <c r="Q161" s="74">
        <v>0</v>
      </c>
      <c r="R161" s="66">
        <v>0</v>
      </c>
      <c r="S161" s="66">
        <v>0</v>
      </c>
      <c r="T161" s="67">
        <v>0</v>
      </c>
      <c r="U161" s="68">
        <v>0</v>
      </c>
      <c r="V161" s="68">
        <v>0</v>
      </c>
      <c r="W161" s="69"/>
      <c r="X161" s="70">
        <v>0</v>
      </c>
      <c r="Y161" s="66">
        <v>0</v>
      </c>
      <c r="Z161" s="66">
        <v>0</v>
      </c>
      <c r="AA161" s="66">
        <v>0</v>
      </c>
      <c r="AB161" s="66">
        <v>1.157042291016497</v>
      </c>
      <c r="AC161" s="66">
        <v>36.625438657704301</v>
      </c>
      <c r="AD161" s="66">
        <v>41.055111065149617</v>
      </c>
      <c r="AE161" s="70">
        <v>0</v>
      </c>
      <c r="AF161" s="66">
        <v>0</v>
      </c>
      <c r="AG161" s="66">
        <v>0</v>
      </c>
      <c r="AH161" s="66">
        <v>0</v>
      </c>
      <c r="AI161" s="66">
        <v>0</v>
      </c>
      <c r="AJ161" s="66">
        <v>0</v>
      </c>
      <c r="AK161" s="66">
        <v>0</v>
      </c>
      <c r="AL161" s="70">
        <v>0</v>
      </c>
      <c r="AM161" s="66">
        <v>0</v>
      </c>
      <c r="AN161" s="66">
        <v>0</v>
      </c>
      <c r="AO161" s="66">
        <v>0</v>
      </c>
      <c r="AP161" s="66">
        <v>0</v>
      </c>
      <c r="AQ161" s="71">
        <v>0</v>
      </c>
      <c r="AR161" s="71">
        <v>0</v>
      </c>
      <c r="AS161" s="111"/>
      <c r="AT161">
        <f t="shared" si="5"/>
        <v>1</v>
      </c>
      <c r="AU161" t="str">
        <f t="shared" si="4"/>
        <v>Northern Mariana Islands</v>
      </c>
    </row>
    <row r="162" spans="1:47">
      <c r="A162">
        <v>308</v>
      </c>
      <c r="B162" s="72" t="s">
        <v>422</v>
      </c>
      <c r="C162" s="73" t="s">
        <v>141</v>
      </c>
      <c r="D162" s="73">
        <v>2015</v>
      </c>
      <c r="E162" s="59">
        <v>98.058581000000004</v>
      </c>
      <c r="F162" s="60">
        <v>1.941419</v>
      </c>
      <c r="G162" s="60">
        <v>0</v>
      </c>
      <c r="H162" s="61">
        <v>0</v>
      </c>
      <c r="I162" s="62">
        <v>-8.7839999468997121E-4</v>
      </c>
      <c r="J162" s="63">
        <v>0</v>
      </c>
      <c r="K162" s="64">
        <v>98.3</v>
      </c>
      <c r="L162" s="60">
        <v>1.7</v>
      </c>
      <c r="M162" s="65">
        <v>0</v>
      </c>
      <c r="N162" s="61">
        <v>0</v>
      </c>
      <c r="O162" s="63">
        <v>0</v>
      </c>
      <c r="P162" s="63">
        <v>0</v>
      </c>
      <c r="Q162" s="74">
        <v>98</v>
      </c>
      <c r="R162" s="66">
        <v>2</v>
      </c>
      <c r="S162" s="66">
        <v>0</v>
      </c>
      <c r="T162" s="67">
        <v>0</v>
      </c>
      <c r="U162" s="68">
        <v>0</v>
      </c>
      <c r="V162" s="68">
        <v>0</v>
      </c>
      <c r="W162" s="69"/>
      <c r="X162" s="70">
        <v>78.445405123037972</v>
      </c>
      <c r="Y162" s="66">
        <v>13.97545981334201</v>
      </c>
      <c r="Z162" s="66">
        <v>1.888827792427932</v>
      </c>
      <c r="AA162" s="66">
        <v>62.581117517268041</v>
      </c>
      <c r="AB162" s="66">
        <v>2.37216153790005</v>
      </c>
      <c r="AC162" s="66">
        <v>14.070210725685181</v>
      </c>
      <c r="AD162" s="66">
        <v>81.616208736414762</v>
      </c>
      <c r="AE162" s="70">
        <v>0</v>
      </c>
      <c r="AF162" s="66">
        <v>0</v>
      </c>
      <c r="AG162" s="66">
        <v>0</v>
      </c>
      <c r="AH162" s="66">
        <v>0</v>
      </c>
      <c r="AI162" s="66">
        <v>0</v>
      </c>
      <c r="AJ162" s="66">
        <v>0</v>
      </c>
      <c r="AK162" s="66">
        <v>0</v>
      </c>
      <c r="AL162" s="70">
        <v>0</v>
      </c>
      <c r="AM162" s="66">
        <v>0</v>
      </c>
      <c r="AN162" s="66">
        <v>0</v>
      </c>
      <c r="AO162" s="66">
        <v>0</v>
      </c>
      <c r="AP162" s="66">
        <v>0</v>
      </c>
      <c r="AQ162" s="71">
        <v>0</v>
      </c>
      <c r="AR162" s="71">
        <v>0</v>
      </c>
      <c r="AS162" s="111"/>
      <c r="AT162">
        <f t="shared" si="5"/>
        <v>0.23322684934584351</v>
      </c>
      <c r="AU162" t="str">
        <f t="shared" si="4"/>
        <v>Norway</v>
      </c>
    </row>
    <row r="163" spans="1:47">
      <c r="A163">
        <v>310</v>
      </c>
      <c r="B163" s="72" t="s">
        <v>423</v>
      </c>
      <c r="C163" s="73" t="s">
        <v>142</v>
      </c>
      <c r="D163" s="73">
        <v>2015</v>
      </c>
      <c r="E163" s="59">
        <v>99.318075832944899</v>
      </c>
      <c r="F163" s="60">
        <v>0.68192416705510694</v>
      </c>
      <c r="G163" s="60">
        <v>0</v>
      </c>
      <c r="H163" s="61">
        <v>0</v>
      </c>
      <c r="I163" s="62">
        <v>0.74878758192062378</v>
      </c>
      <c r="J163" s="63">
        <v>-0.74741226434707642</v>
      </c>
      <c r="K163" s="64">
        <v>99.298554617007909</v>
      </c>
      <c r="L163" s="60">
        <v>0.70144538299209758</v>
      </c>
      <c r="M163" s="65">
        <v>0</v>
      </c>
      <c r="N163" s="61">
        <v>0</v>
      </c>
      <c r="O163" s="63">
        <v>1.5424348115921021</v>
      </c>
      <c r="P163" s="63">
        <v>-1.5458012819290161</v>
      </c>
      <c r="Q163" s="74">
        <v>99.323697538836569</v>
      </c>
      <c r="R163" s="66">
        <v>0.67630246116343662</v>
      </c>
      <c r="S163" s="66">
        <v>0</v>
      </c>
      <c r="T163" s="67">
        <v>0</v>
      </c>
      <c r="U163" s="68">
        <v>0.43336659669876099</v>
      </c>
      <c r="V163" s="68">
        <v>-0.43024986982345581</v>
      </c>
      <c r="W163" s="69"/>
      <c r="X163" s="70">
        <v>0</v>
      </c>
      <c r="Y163" s="66">
        <v>0</v>
      </c>
      <c r="Z163" s="66">
        <v>0</v>
      </c>
      <c r="AA163" s="66">
        <v>10.047149598156169</v>
      </c>
      <c r="AB163" s="66">
        <v>4.5879241707668701</v>
      </c>
      <c r="AC163" s="66">
        <v>84.683002064021849</v>
      </c>
      <c r="AD163" s="66">
        <v>10.047149598156169</v>
      </c>
      <c r="AE163" s="70">
        <v>0</v>
      </c>
      <c r="AF163" s="66">
        <v>0</v>
      </c>
      <c r="AG163" s="66">
        <v>0</v>
      </c>
      <c r="AH163" s="66">
        <v>1.4979630092953979</v>
      </c>
      <c r="AI163" s="66">
        <v>9.6575969937255</v>
      </c>
      <c r="AJ163" s="66">
        <v>88.142994613987014</v>
      </c>
      <c r="AK163" s="66">
        <v>1.4979630092953979</v>
      </c>
      <c r="AL163" s="70">
        <v>0</v>
      </c>
      <c r="AM163" s="66">
        <v>0</v>
      </c>
      <c r="AN163" s="66">
        <v>0</v>
      </c>
      <c r="AO163" s="66">
        <v>12.5097615206715</v>
      </c>
      <c r="AP163" s="66">
        <v>3.1275936586793489</v>
      </c>
      <c r="AQ163" s="71">
        <v>83.686342359485721</v>
      </c>
      <c r="AR163" s="71">
        <v>12.5097615206715</v>
      </c>
      <c r="AS163" s="111"/>
      <c r="AT163">
        <f t="shared" si="5"/>
        <v>0</v>
      </c>
      <c r="AU163" t="str">
        <f t="shared" si="4"/>
        <v>Oman</v>
      </c>
    </row>
    <row r="164" spans="1:47">
      <c r="A164">
        <v>312</v>
      </c>
      <c r="B164" s="72" t="s">
        <v>424</v>
      </c>
      <c r="C164" s="73" t="s">
        <v>143</v>
      </c>
      <c r="D164" s="73">
        <v>2015</v>
      </c>
      <c r="E164" s="59">
        <v>58.251404230362517</v>
      </c>
      <c r="F164" s="60">
        <v>8.4449982676346931</v>
      </c>
      <c r="G164" s="60">
        <v>21.75751987862402</v>
      </c>
      <c r="H164" s="61">
        <v>11.546077623378761</v>
      </c>
      <c r="I164" s="62">
        <v>1.7746315002441406</v>
      </c>
      <c r="J164" s="63">
        <v>-1.9948651790618896</v>
      </c>
      <c r="K164" s="64">
        <v>48.052956161547527</v>
      </c>
      <c r="L164" s="60">
        <v>8.8956599519752757</v>
      </c>
      <c r="M164" s="65">
        <v>24.19818245056922</v>
      </c>
      <c r="N164" s="61">
        <v>18.85320143590798</v>
      </c>
      <c r="O164" s="63">
        <v>2.261995792388916</v>
      </c>
      <c r="P164" s="63">
        <v>-2.6695935726165771</v>
      </c>
      <c r="Q164" s="74">
        <v>74.366099432136807</v>
      </c>
      <c r="R164" s="66">
        <v>7.7329021101346704</v>
      </c>
      <c r="S164" s="66">
        <v>17.900998457728519</v>
      </c>
      <c r="T164" s="67">
        <v>0</v>
      </c>
      <c r="U164" s="68">
        <v>0.49558740854263306</v>
      </c>
      <c r="V164" s="68">
        <v>-0.42211538553237915</v>
      </c>
      <c r="W164" s="69"/>
      <c r="X164" s="70">
        <v>0</v>
      </c>
      <c r="Y164" s="66">
        <v>0</v>
      </c>
      <c r="Z164" s="66">
        <v>0</v>
      </c>
      <c r="AA164" s="66">
        <v>0</v>
      </c>
      <c r="AB164" s="66">
        <v>8.0677938520235042</v>
      </c>
      <c r="AC164" s="66">
        <v>27.05907561196172</v>
      </c>
      <c r="AD164" s="66">
        <v>23.124534766377302</v>
      </c>
      <c r="AE164" s="70">
        <v>0</v>
      </c>
      <c r="AF164" s="66">
        <v>0</v>
      </c>
      <c r="AG164" s="66">
        <v>0</v>
      </c>
      <c r="AH164" s="66">
        <v>0</v>
      </c>
      <c r="AI164" s="66">
        <v>10.94704146876736</v>
      </c>
      <c r="AJ164" s="66">
        <v>32.716883661895572</v>
      </c>
      <c r="AK164" s="66">
        <v>4.3890310308846008</v>
      </c>
      <c r="AL164" s="70">
        <v>0</v>
      </c>
      <c r="AM164" s="66">
        <v>0</v>
      </c>
      <c r="AN164" s="66">
        <v>0</v>
      </c>
      <c r="AO164" s="66">
        <v>0</v>
      </c>
      <c r="AP164" s="66">
        <v>3.0198559617290579</v>
      </c>
      <c r="AQ164" s="71">
        <v>16.911895594700908</v>
      </c>
      <c r="AR164" s="71">
        <v>54.434347875706848</v>
      </c>
      <c r="AS164" s="111"/>
      <c r="AT164">
        <f t="shared" si="5"/>
        <v>1</v>
      </c>
      <c r="AU164" t="str">
        <f t="shared" si="4"/>
        <v>Pakistan</v>
      </c>
    </row>
    <row r="165" spans="1:47">
      <c r="A165">
        <v>314</v>
      </c>
      <c r="B165" s="72" t="s">
        <v>425</v>
      </c>
      <c r="C165" s="73" t="s">
        <v>144</v>
      </c>
      <c r="D165" s="73">
        <v>2015</v>
      </c>
      <c r="E165" s="59">
        <v>100</v>
      </c>
      <c r="F165" s="60">
        <v>0</v>
      </c>
      <c r="G165" s="60">
        <v>0</v>
      </c>
      <c r="H165" s="61">
        <v>0</v>
      </c>
      <c r="I165" s="62">
        <v>1.0213760137557983</v>
      </c>
      <c r="J165" s="63">
        <v>0</v>
      </c>
      <c r="K165" s="64">
        <v>100</v>
      </c>
      <c r="L165" s="60">
        <v>0</v>
      </c>
      <c r="M165" s="65">
        <v>0</v>
      </c>
      <c r="N165" s="61">
        <v>0</v>
      </c>
      <c r="O165" s="63">
        <v>2.1982879638671875</v>
      </c>
      <c r="P165" s="63">
        <v>0</v>
      </c>
      <c r="Q165" s="74">
        <v>100</v>
      </c>
      <c r="R165" s="66">
        <v>0</v>
      </c>
      <c r="S165" s="66">
        <v>0</v>
      </c>
      <c r="T165" s="67">
        <v>0</v>
      </c>
      <c r="U165" s="68">
        <v>0.51609611511230469</v>
      </c>
      <c r="V165" s="68">
        <v>0</v>
      </c>
      <c r="W165" s="69"/>
      <c r="X165" s="70">
        <v>19.62012</v>
      </c>
      <c r="Y165" s="66">
        <v>19.62012</v>
      </c>
      <c r="Z165" s="66">
        <v>0</v>
      </c>
      <c r="AA165" s="66">
        <v>0</v>
      </c>
      <c r="AB165" s="66">
        <v>0</v>
      </c>
      <c r="AC165" s="66">
        <v>39.24024</v>
      </c>
      <c r="AD165" s="66">
        <v>60.75976</v>
      </c>
      <c r="AE165" s="70">
        <v>0</v>
      </c>
      <c r="AF165" s="66">
        <v>0</v>
      </c>
      <c r="AG165" s="66">
        <v>0</v>
      </c>
      <c r="AH165" s="66">
        <v>0</v>
      </c>
      <c r="AI165" s="66">
        <v>0</v>
      </c>
      <c r="AJ165" s="66">
        <v>88</v>
      </c>
      <c r="AK165" s="66">
        <v>12</v>
      </c>
      <c r="AL165" s="70">
        <v>16</v>
      </c>
      <c r="AM165" s="66">
        <v>16</v>
      </c>
      <c r="AN165" s="66">
        <v>0</v>
      </c>
      <c r="AO165" s="66">
        <v>0</v>
      </c>
      <c r="AP165" s="66">
        <v>0</v>
      </c>
      <c r="AQ165" s="71">
        <v>32</v>
      </c>
      <c r="AR165" s="71">
        <v>68</v>
      </c>
      <c r="AS165" s="111"/>
      <c r="AT165">
        <f t="shared" si="5"/>
        <v>1</v>
      </c>
      <c r="AU165" t="str">
        <f t="shared" si="4"/>
        <v>Palau</v>
      </c>
    </row>
    <row r="166" spans="1:47">
      <c r="A166">
        <v>316</v>
      </c>
      <c r="B166" s="72" t="s">
        <v>426</v>
      </c>
      <c r="C166" s="73" t="s">
        <v>145</v>
      </c>
      <c r="D166" s="73">
        <v>2015</v>
      </c>
      <c r="E166" s="59">
        <v>76.867040381654817</v>
      </c>
      <c r="F166" s="60">
        <v>7.3440916942420467</v>
      </c>
      <c r="G166" s="60">
        <v>12.399024952901851</v>
      </c>
      <c r="H166" s="61">
        <v>3.3898429712012841</v>
      </c>
      <c r="I166" s="62">
        <v>0.84860056638717651</v>
      </c>
      <c r="J166" s="63">
        <v>-0.2786526083946228</v>
      </c>
      <c r="K166" s="64">
        <v>59.24350606835759</v>
      </c>
      <c r="L166" s="60">
        <v>5.7663614651594903</v>
      </c>
      <c r="M166" s="65">
        <v>25.59565416270436</v>
      </c>
      <c r="N166" s="61">
        <v>9.3944783037785555</v>
      </c>
      <c r="O166" s="63">
        <v>0.95913785696029663</v>
      </c>
      <c r="P166" s="63">
        <v>-0.49378880858421326</v>
      </c>
      <c r="Q166" s="74">
        <v>85.708448273573254</v>
      </c>
      <c r="R166" s="66">
        <v>8.1356103675540066</v>
      </c>
      <c r="S166" s="66">
        <v>5.7785151523089553</v>
      </c>
      <c r="T166" s="67">
        <v>0.37742620656376857</v>
      </c>
      <c r="U166" s="68">
        <v>0.65677773952484131</v>
      </c>
      <c r="V166" s="68">
        <v>-0.10543203353881836</v>
      </c>
      <c r="W166" s="69"/>
      <c r="X166" s="70">
        <v>0</v>
      </c>
      <c r="Y166" s="66">
        <v>0</v>
      </c>
      <c r="Z166" s="66">
        <v>0</v>
      </c>
      <c r="AA166" s="66">
        <v>5.6056673930926761</v>
      </c>
      <c r="AB166" s="66">
        <v>15.051055106524091</v>
      </c>
      <c r="AC166" s="66">
        <v>31.183923017793699</v>
      </c>
      <c r="AD166" s="66">
        <v>30.632062257337029</v>
      </c>
      <c r="AE166" s="70">
        <v>0</v>
      </c>
      <c r="AF166" s="66">
        <v>0</v>
      </c>
      <c r="AG166" s="66">
        <v>0</v>
      </c>
      <c r="AH166" s="66">
        <v>0.67658653456227713</v>
      </c>
      <c r="AI166" s="66">
        <v>28.368529139673139</v>
      </c>
      <c r="AJ166" s="66">
        <v>27.177782750748509</v>
      </c>
      <c r="AK166" s="66">
        <v>3.6971941779359412</v>
      </c>
      <c r="AL166" s="70">
        <v>28.853349541280171</v>
      </c>
      <c r="AM166" s="66">
        <v>20.770825721161291</v>
      </c>
      <c r="AN166" s="66">
        <v>0</v>
      </c>
      <c r="AO166" s="66">
        <v>8.0825238201188743</v>
      </c>
      <c r="AP166" s="66">
        <v>8.3513934676659591</v>
      </c>
      <c r="AQ166" s="71">
        <v>33.190257974656632</v>
      </c>
      <c r="AR166" s="71">
        <v>44.166796831250679</v>
      </c>
      <c r="AS166" s="111"/>
      <c r="AT166">
        <f t="shared" si="5"/>
        <v>0.81699999999999995</v>
      </c>
      <c r="AU166" t="str">
        <f t="shared" si="4"/>
        <v>Panama</v>
      </c>
    </row>
    <row r="167" spans="1:47">
      <c r="A167">
        <v>318</v>
      </c>
      <c r="B167" s="72" t="s">
        <v>427</v>
      </c>
      <c r="C167" s="73" t="s">
        <v>146</v>
      </c>
      <c r="D167" s="73">
        <v>2015</v>
      </c>
      <c r="E167" s="59">
        <v>18.604170204171989</v>
      </c>
      <c r="F167" s="60">
        <v>3.4051948359863728</v>
      </c>
      <c r="G167" s="60">
        <v>65.079853100029624</v>
      </c>
      <c r="H167" s="61">
        <v>12.91078185981201</v>
      </c>
      <c r="I167" s="62">
        <v>-5.5867093615233898E-3</v>
      </c>
      <c r="J167" s="63">
        <v>1.3826231006532907E-3</v>
      </c>
      <c r="K167" s="64">
        <v>13.127651036437459</v>
      </c>
      <c r="L167" s="60">
        <v>2.6266338717682429</v>
      </c>
      <c r="M167" s="65">
        <v>69.979580449983843</v>
      </c>
      <c r="N167" s="61">
        <v>14.266134641810449</v>
      </c>
      <c r="O167" s="63">
        <v>0</v>
      </c>
      <c r="P167" s="63">
        <v>0</v>
      </c>
      <c r="Q167" s="74">
        <v>55.238525067460372</v>
      </c>
      <c r="R167" s="66">
        <v>8.6132618165443269</v>
      </c>
      <c r="S167" s="66">
        <v>32.303860727152447</v>
      </c>
      <c r="T167" s="67">
        <v>3.8443523888428599</v>
      </c>
      <c r="U167" s="68">
        <v>0</v>
      </c>
      <c r="V167" s="68">
        <v>0</v>
      </c>
      <c r="W167" s="69"/>
      <c r="X167" s="70">
        <v>0</v>
      </c>
      <c r="Y167" s="66">
        <v>0</v>
      </c>
      <c r="Z167" s="66">
        <v>0</v>
      </c>
      <c r="AA167" s="66">
        <v>1.8593421197253091</v>
      </c>
      <c r="AB167" s="66">
        <v>11.50017291771999</v>
      </c>
      <c r="AC167" s="66">
        <v>3.8072914004142202</v>
      </c>
      <c r="AD167" s="66">
        <v>3.296705886037782</v>
      </c>
      <c r="AE167" s="70">
        <v>0</v>
      </c>
      <c r="AF167" s="66">
        <v>0</v>
      </c>
      <c r="AG167" s="66">
        <v>0</v>
      </c>
      <c r="AH167" s="66">
        <v>0.46996707420812961</v>
      </c>
      <c r="AI167" s="66">
        <v>11.04446365076312</v>
      </c>
      <c r="AJ167" s="66">
        <v>1.2499124314046</v>
      </c>
      <c r="AK167" s="66">
        <v>0.83327495426973341</v>
      </c>
      <c r="AL167" s="70">
        <v>0</v>
      </c>
      <c r="AM167" s="66">
        <v>0</v>
      </c>
      <c r="AN167" s="66">
        <v>0</v>
      </c>
      <c r="AO167" s="66">
        <v>11.368522966087159</v>
      </c>
      <c r="AP167" s="66">
        <v>13.79997683171516</v>
      </c>
      <c r="AQ167" s="71">
        <v>21.28159262211549</v>
      </c>
      <c r="AR167" s="71">
        <v>20.156955613629719</v>
      </c>
      <c r="AS167" s="111"/>
      <c r="AT167">
        <f t="shared" si="5"/>
        <v>0.436</v>
      </c>
      <c r="AU167" t="str">
        <f t="shared" si="4"/>
        <v>Papua New Guinea</v>
      </c>
    </row>
    <row r="168" spans="1:47">
      <c r="A168">
        <v>320</v>
      </c>
      <c r="B168" s="72" t="s">
        <v>428</v>
      </c>
      <c r="C168" s="73" t="s">
        <v>147</v>
      </c>
      <c r="D168" s="73">
        <v>2015</v>
      </c>
      <c r="E168" s="59">
        <v>91.222224823276335</v>
      </c>
      <c r="F168" s="60">
        <v>3.0945083127559E-2</v>
      </c>
      <c r="G168" s="60">
        <v>8.3688867614323694</v>
      </c>
      <c r="H168" s="61">
        <v>0.37794333216373338</v>
      </c>
      <c r="I168" s="62">
        <v>1.2877296209335327</v>
      </c>
      <c r="J168" s="63">
        <v>-3.5832330584526062E-2</v>
      </c>
      <c r="K168" s="64">
        <v>80.721853026237468</v>
      </c>
      <c r="L168" s="60">
        <v>1.1165364651891401E-2</v>
      </c>
      <c r="M168" s="65">
        <v>18.839319072843491</v>
      </c>
      <c r="N168" s="61">
        <v>0.42766253626714962</v>
      </c>
      <c r="O168" s="63">
        <v>1.9479793310165405</v>
      </c>
      <c r="P168" s="63">
        <v>-6.9114670157432556E-2</v>
      </c>
      <c r="Q168" s="74">
        <v>98.320438145130765</v>
      </c>
      <c r="R168" s="66">
        <v>4.4316101211519299E-2</v>
      </c>
      <c r="S168" s="66">
        <v>1.290912423476819</v>
      </c>
      <c r="T168" s="67">
        <v>0.34433333018090911</v>
      </c>
      <c r="U168" s="68">
        <v>0.66278719902038574</v>
      </c>
      <c r="V168" s="68">
        <v>-8.5280891507863998E-3</v>
      </c>
      <c r="W168" s="69"/>
      <c r="X168" s="70">
        <v>0</v>
      </c>
      <c r="Y168" s="66">
        <v>0</v>
      </c>
      <c r="Z168" s="66">
        <v>0</v>
      </c>
      <c r="AA168" s="66">
        <v>0.71435948587038323</v>
      </c>
      <c r="AB168" s="66">
        <v>37.636168761802701</v>
      </c>
      <c r="AC168" s="66">
        <v>44.656562488093847</v>
      </c>
      <c r="AD168" s="66">
        <v>8.9294935733797907</v>
      </c>
      <c r="AE168" s="70">
        <v>0</v>
      </c>
      <c r="AF168" s="66">
        <v>0</v>
      </c>
      <c r="AG168" s="66">
        <v>0</v>
      </c>
      <c r="AH168" s="66">
        <v>0</v>
      </c>
      <c r="AI168" s="66">
        <v>53.644367527471523</v>
      </c>
      <c r="AJ168" s="66">
        <v>27.077485498765942</v>
      </c>
      <c r="AK168" s="66">
        <v>0</v>
      </c>
      <c r="AL168" s="70">
        <v>0</v>
      </c>
      <c r="AM168" s="66">
        <v>0</v>
      </c>
      <c r="AN168" s="66">
        <v>0</v>
      </c>
      <c r="AO168" s="66">
        <v>1.1971304728157079</v>
      </c>
      <c r="AP168" s="66">
        <v>26.81897809585131</v>
      </c>
      <c r="AQ168" s="71">
        <v>56.537329139083113</v>
      </c>
      <c r="AR168" s="71">
        <v>14.96413091019634</v>
      </c>
      <c r="AS168" s="111"/>
      <c r="AT168">
        <f t="shared" si="5"/>
        <v>0.91999999999999993</v>
      </c>
      <c r="AU168" t="str">
        <f t="shared" si="4"/>
        <v>Paraguay</v>
      </c>
    </row>
    <row r="169" spans="1:47">
      <c r="A169">
        <v>322</v>
      </c>
      <c r="B169" s="72" t="s">
        <v>429</v>
      </c>
      <c r="C169" s="73" t="s">
        <v>148</v>
      </c>
      <c r="D169" s="73">
        <v>2015</v>
      </c>
      <c r="E169" s="59">
        <v>76.815525204199062</v>
      </c>
      <c r="F169" s="60">
        <v>8.8359862447279536</v>
      </c>
      <c r="G169" s="60">
        <v>7.0683073577403208</v>
      </c>
      <c r="H169" s="61">
        <v>7.2801811933326741</v>
      </c>
      <c r="I169" s="62">
        <v>0.94631582498550415</v>
      </c>
      <c r="J169" s="63">
        <v>-0.79246431589126587</v>
      </c>
      <c r="K169" s="64">
        <v>58.248446908268569</v>
      </c>
      <c r="L169" s="60">
        <v>3.9065793427341409</v>
      </c>
      <c r="M169" s="65">
        <v>17.066990871277088</v>
      </c>
      <c r="N169" s="61">
        <v>20.777982877720209</v>
      </c>
      <c r="O169" s="63">
        <v>2.1965827941894531</v>
      </c>
      <c r="P169" s="63">
        <v>-2.1524178981781006</v>
      </c>
      <c r="Q169" s="74">
        <v>81.867979399370725</v>
      </c>
      <c r="R169" s="66">
        <v>10.17737136654034</v>
      </c>
      <c r="S169" s="66">
        <v>4.3474759130194229</v>
      </c>
      <c r="T169" s="67">
        <v>3.6071733210695238</v>
      </c>
      <c r="U169" s="68">
        <v>0.36486002802848816</v>
      </c>
      <c r="V169" s="68">
        <v>-0.20329242944717407</v>
      </c>
      <c r="W169" s="69"/>
      <c r="X169" s="70">
        <v>30.254562858574129</v>
      </c>
      <c r="Y169" s="66">
        <v>7.2562760588653754</v>
      </c>
      <c r="Z169" s="66">
        <v>0</v>
      </c>
      <c r="AA169" s="66">
        <v>22.998286799708762</v>
      </c>
      <c r="AB169" s="66">
        <v>6.033439276549224</v>
      </c>
      <c r="AC169" s="66">
        <v>8.4791128411815269</v>
      </c>
      <c r="AD169" s="66">
        <v>62.302973086468292</v>
      </c>
      <c r="AE169" s="70">
        <v>0</v>
      </c>
      <c r="AF169" s="66">
        <v>0</v>
      </c>
      <c r="AG169" s="66">
        <v>0</v>
      </c>
      <c r="AH169" s="66">
        <v>5.3491761584976114</v>
      </c>
      <c r="AI169" s="66">
        <v>13.986962235229569</v>
      </c>
      <c r="AJ169" s="66">
        <v>31.446564944024221</v>
      </c>
      <c r="AK169" s="66">
        <v>12.814919729014781</v>
      </c>
      <c r="AL169" s="70">
        <v>34.950957978075202</v>
      </c>
      <c r="AM169" s="66">
        <v>3.2876987402511131</v>
      </c>
      <c r="AN169" s="66">
        <v>0</v>
      </c>
      <c r="AO169" s="66">
        <v>31.663259237824089</v>
      </c>
      <c r="AP169" s="66">
        <v>3.99954116363278</v>
      </c>
      <c r="AQ169" s="71">
        <v>2.5758563168694448</v>
      </c>
      <c r="AR169" s="71">
        <v>75.292581918868493</v>
      </c>
      <c r="AS169" s="111"/>
      <c r="AT169">
        <f t="shared" si="5"/>
        <v>0.63086373474039226</v>
      </c>
      <c r="AU169" t="str">
        <f t="shared" si="4"/>
        <v>Peru</v>
      </c>
    </row>
    <row r="170" spans="1:47">
      <c r="A170">
        <v>324</v>
      </c>
      <c r="B170" s="72" t="s">
        <v>430</v>
      </c>
      <c r="C170" s="73" t="s">
        <v>149</v>
      </c>
      <c r="D170" s="73">
        <v>2015</v>
      </c>
      <c r="E170" s="59">
        <v>74.976904501880611</v>
      </c>
      <c r="F170" s="60">
        <v>16.541850168789932</v>
      </c>
      <c r="G170" s="60">
        <v>2.7423113699265298</v>
      </c>
      <c r="H170" s="61">
        <v>5.7389339594029503</v>
      </c>
      <c r="I170" s="62">
        <v>0.53424942493438721</v>
      </c>
      <c r="J170" s="63">
        <v>-0.34158092737197876</v>
      </c>
      <c r="K170" s="64">
        <v>71.867072425464386</v>
      </c>
      <c r="L170" s="60">
        <v>16.45866922297407</v>
      </c>
      <c r="M170" s="65">
        <v>3.474519639776418</v>
      </c>
      <c r="N170" s="61">
        <v>8.1997387117851304</v>
      </c>
      <c r="O170" s="63">
        <v>0.84783941507339478</v>
      </c>
      <c r="P170" s="63">
        <v>-0.51515847444534302</v>
      </c>
      <c r="Q170" s="74">
        <v>78.875460581361466</v>
      </c>
      <c r="R170" s="66">
        <v>16.646127690546379</v>
      </c>
      <c r="S170" s="66">
        <v>1.824398462822217</v>
      </c>
      <c r="T170" s="67">
        <v>2.6540132652699531</v>
      </c>
      <c r="U170" s="68">
        <v>0.22881327569484711</v>
      </c>
      <c r="V170" s="68">
        <v>-0.18081511557102203</v>
      </c>
      <c r="W170" s="69"/>
      <c r="X170" s="70">
        <v>0</v>
      </c>
      <c r="Y170" s="66">
        <v>0</v>
      </c>
      <c r="Z170" s="66">
        <v>0</v>
      </c>
      <c r="AA170" s="66">
        <v>0</v>
      </c>
      <c r="AB170" s="66">
        <v>6.0324265987972554</v>
      </c>
      <c r="AC170" s="66">
        <v>66.575041330138902</v>
      </c>
      <c r="AD170" s="66">
        <v>2.3694365729444291</v>
      </c>
      <c r="AE170" s="70">
        <v>0</v>
      </c>
      <c r="AF170" s="66">
        <v>0</v>
      </c>
      <c r="AG170" s="66">
        <v>0</v>
      </c>
      <c r="AH170" s="66">
        <v>0</v>
      </c>
      <c r="AI170" s="66">
        <v>6.9814151703770442</v>
      </c>
      <c r="AJ170" s="66">
        <v>62.508416912288652</v>
      </c>
      <c r="AK170" s="66">
        <v>2.3772403427986939</v>
      </c>
      <c r="AL170" s="70">
        <v>0</v>
      </c>
      <c r="AM170" s="66">
        <v>0</v>
      </c>
      <c r="AN170" s="66">
        <v>0</v>
      </c>
      <c r="AO170" s="66">
        <v>0</v>
      </c>
      <c r="AP170" s="66">
        <v>4.8204429393055612</v>
      </c>
      <c r="AQ170" s="71">
        <v>71.697337606606268</v>
      </c>
      <c r="AR170" s="71">
        <v>2.357680035449631</v>
      </c>
      <c r="AS170" s="111"/>
      <c r="AT170">
        <f t="shared" si="5"/>
        <v>1</v>
      </c>
      <c r="AU170" t="str">
        <f t="shared" si="4"/>
        <v>Philippines</v>
      </c>
    </row>
    <row r="171" spans="1:47">
      <c r="A171">
        <v>326</v>
      </c>
      <c r="B171" s="72" t="s">
        <v>431</v>
      </c>
      <c r="C171" s="73" t="s">
        <v>150</v>
      </c>
      <c r="D171" s="73">
        <v>2015</v>
      </c>
      <c r="E171" s="59">
        <v>98.132712948204997</v>
      </c>
      <c r="F171" s="60">
        <v>1.0365957684616409</v>
      </c>
      <c r="G171" s="60">
        <v>0.8306912833333705</v>
      </c>
      <c r="H171" s="61">
        <v>0</v>
      </c>
      <c r="I171" s="62">
        <v>0.74135327339172363</v>
      </c>
      <c r="J171" s="63">
        <v>0</v>
      </c>
      <c r="K171" s="64">
        <v>98.15496183206092</v>
      </c>
      <c r="L171" s="60">
        <v>0.75503816793893019</v>
      </c>
      <c r="M171" s="65">
        <v>1.090000000000146</v>
      </c>
      <c r="N171" s="61">
        <v>0</v>
      </c>
      <c r="O171" s="63">
        <v>1.4759541749954224</v>
      </c>
      <c r="P171" s="63">
        <v>0</v>
      </c>
      <c r="Q171" s="74">
        <v>98.118210508358956</v>
      </c>
      <c r="R171" s="66">
        <v>1.220122824974412</v>
      </c>
      <c r="S171" s="66">
        <v>0.66166666666663332</v>
      </c>
      <c r="T171" s="67">
        <v>0</v>
      </c>
      <c r="U171" s="68">
        <v>0.28561496734619141</v>
      </c>
      <c r="V171" s="68">
        <v>0</v>
      </c>
      <c r="W171" s="69"/>
      <c r="X171" s="70">
        <v>77.138741670394211</v>
      </c>
      <c r="Y171" s="66">
        <v>20.993971277810779</v>
      </c>
      <c r="Z171" s="66">
        <v>0</v>
      </c>
      <c r="AA171" s="66">
        <v>56.144770392583432</v>
      </c>
      <c r="AB171" s="66">
        <v>8.9649187928532132</v>
      </c>
      <c r="AC171" s="66">
        <v>33.023023762768347</v>
      </c>
      <c r="AD171" s="66">
        <v>56.144770392583432</v>
      </c>
      <c r="AE171" s="70">
        <v>0</v>
      </c>
      <c r="AF171" s="66">
        <v>0</v>
      </c>
      <c r="AG171" s="66">
        <v>0</v>
      </c>
      <c r="AH171" s="66">
        <v>14.190839694656489</v>
      </c>
      <c r="AI171" s="66">
        <v>17.244020356233879</v>
      </c>
      <c r="AJ171" s="66">
        <v>66.720101781170555</v>
      </c>
      <c r="AK171" s="66">
        <v>14.190839694656489</v>
      </c>
      <c r="AL171" s="70">
        <v>90.740783862163113</v>
      </c>
      <c r="AM171" s="66">
        <v>7.3774266461958531</v>
      </c>
      <c r="AN171" s="66">
        <v>0</v>
      </c>
      <c r="AO171" s="66">
        <v>83.363357215967255</v>
      </c>
      <c r="AP171" s="66">
        <v>3.5936455134766589</v>
      </c>
      <c r="AQ171" s="71">
        <v>11.161207778915051</v>
      </c>
      <c r="AR171" s="71">
        <v>83.363357215967255</v>
      </c>
      <c r="AS171" s="111"/>
      <c r="AT171">
        <f t="shared" si="5"/>
        <v>0</v>
      </c>
      <c r="AU171" t="str">
        <f t="shared" si="4"/>
        <v>Poland</v>
      </c>
    </row>
    <row r="172" spans="1:47">
      <c r="A172">
        <v>328</v>
      </c>
      <c r="B172" s="72" t="s">
        <v>432</v>
      </c>
      <c r="C172" s="73" t="s">
        <v>151</v>
      </c>
      <c r="D172" s="73">
        <v>2015</v>
      </c>
      <c r="E172" s="59">
        <v>99.442142769483496</v>
      </c>
      <c r="F172" s="60">
        <v>0.33022521046240638</v>
      </c>
      <c r="G172" s="60">
        <v>0.2276320200541001</v>
      </c>
      <c r="H172" s="61">
        <v>0</v>
      </c>
      <c r="I172" s="62">
        <v>0.14172941446304321</v>
      </c>
      <c r="J172" s="63">
        <v>0</v>
      </c>
      <c r="K172" s="64">
        <v>99.544843688655803</v>
      </c>
      <c r="L172" s="60">
        <v>0.20419455115621701</v>
      </c>
      <c r="M172" s="65">
        <v>0.25096176018797678</v>
      </c>
      <c r="N172" s="61">
        <v>0</v>
      </c>
      <c r="O172" s="63">
        <v>0.23898518085479736</v>
      </c>
      <c r="P172" s="63">
        <v>0</v>
      </c>
      <c r="Q172" s="74">
        <v>99.383028412969935</v>
      </c>
      <c r="R172" s="66">
        <v>0.40276809893807469</v>
      </c>
      <c r="S172" s="66">
        <v>0.21420348809199649</v>
      </c>
      <c r="T172" s="67">
        <v>0</v>
      </c>
      <c r="U172" s="68">
        <v>6.2001369893550873E-2</v>
      </c>
      <c r="V172" s="68">
        <v>0</v>
      </c>
      <c r="W172" s="69"/>
      <c r="X172" s="70">
        <v>61.670560694706928</v>
      </c>
      <c r="Y172" s="66">
        <v>18.030246882242299</v>
      </c>
      <c r="Z172" s="66">
        <v>0</v>
      </c>
      <c r="AA172" s="66">
        <v>43.640313812464633</v>
      </c>
      <c r="AB172" s="66">
        <v>5.7166695369925158</v>
      </c>
      <c r="AC172" s="66">
        <v>30.343824227492082</v>
      </c>
      <c r="AD172" s="66">
        <v>63.381649004998891</v>
      </c>
      <c r="AE172" s="70">
        <v>0</v>
      </c>
      <c r="AF172" s="66">
        <v>0</v>
      </c>
      <c r="AG172" s="66">
        <v>0</v>
      </c>
      <c r="AH172" s="66">
        <v>21.332677079903029</v>
      </c>
      <c r="AI172" s="66">
        <v>9.1867512343321707</v>
      </c>
      <c r="AJ172" s="66">
        <v>59.375266418155007</v>
      </c>
      <c r="AK172" s="66">
        <v>30.982826036168628</v>
      </c>
      <c r="AL172" s="70">
        <v>65.149858125348345</v>
      </c>
      <c r="AM172" s="66">
        <v>8.6949785785196383</v>
      </c>
      <c r="AN172" s="66">
        <v>0</v>
      </c>
      <c r="AO172" s="66">
        <v>56.4548795468287</v>
      </c>
      <c r="AP172" s="66">
        <v>3.7232750280941849</v>
      </c>
      <c r="AQ172" s="71">
        <v>13.666682128945091</v>
      </c>
      <c r="AR172" s="71">
        <v>81.993071255930658</v>
      </c>
      <c r="AS172" s="111"/>
      <c r="AT172">
        <f t="shared" si="5"/>
        <v>0.31146768035298772</v>
      </c>
      <c r="AU172" t="str">
        <f t="shared" si="4"/>
        <v>Portugal</v>
      </c>
    </row>
    <row r="173" spans="1:47">
      <c r="A173">
        <v>330</v>
      </c>
      <c r="B173" s="72" t="s">
        <v>433</v>
      </c>
      <c r="C173" s="73" t="s">
        <v>152</v>
      </c>
      <c r="D173" s="73">
        <v>2015</v>
      </c>
      <c r="E173" s="59">
        <v>97.15727147807111</v>
      </c>
      <c r="F173" s="60">
        <v>0</v>
      </c>
      <c r="G173" s="60">
        <v>2.8427285219288909</v>
      </c>
      <c r="H173" s="61">
        <v>0</v>
      </c>
      <c r="I173" s="62">
        <v>6.6406154073774815E-3</v>
      </c>
      <c r="J173" s="63">
        <v>0</v>
      </c>
      <c r="K173" s="64">
        <v>0</v>
      </c>
      <c r="L173" s="60">
        <v>0</v>
      </c>
      <c r="M173" s="65">
        <v>0</v>
      </c>
      <c r="N173" s="61">
        <v>0</v>
      </c>
      <c r="O173" s="63">
        <v>0</v>
      </c>
      <c r="P173" s="63">
        <v>0</v>
      </c>
      <c r="Q173" s="74">
        <v>0</v>
      </c>
      <c r="R173" s="66">
        <v>0</v>
      </c>
      <c r="S173" s="66">
        <v>0</v>
      </c>
      <c r="T173" s="67">
        <v>0</v>
      </c>
      <c r="U173" s="68">
        <v>0</v>
      </c>
      <c r="V173" s="68">
        <v>0</v>
      </c>
      <c r="W173" s="69"/>
      <c r="X173" s="70">
        <v>32.119756126936593</v>
      </c>
      <c r="Y173" s="66">
        <v>1.528635739035558</v>
      </c>
      <c r="Z173" s="66">
        <v>0</v>
      </c>
      <c r="AA173" s="66">
        <v>30.591120387901039</v>
      </c>
      <c r="AB173" s="66">
        <v>3.0572714780711152</v>
      </c>
      <c r="AC173" s="66">
        <v>0</v>
      </c>
      <c r="AD173" s="66">
        <v>94.1</v>
      </c>
      <c r="AE173" s="70">
        <v>0</v>
      </c>
      <c r="AF173" s="66">
        <v>0</v>
      </c>
      <c r="AG173" s="66">
        <v>0</v>
      </c>
      <c r="AH173" s="66">
        <v>0</v>
      </c>
      <c r="AI173" s="66">
        <v>0</v>
      </c>
      <c r="AJ173" s="66">
        <v>0</v>
      </c>
      <c r="AK173" s="66">
        <v>0</v>
      </c>
      <c r="AL173" s="70">
        <v>0</v>
      </c>
      <c r="AM173" s="66">
        <v>0</v>
      </c>
      <c r="AN173" s="66">
        <v>0</v>
      </c>
      <c r="AO173" s="66">
        <v>0</v>
      </c>
      <c r="AP173" s="66">
        <v>0</v>
      </c>
      <c r="AQ173" s="71">
        <v>0</v>
      </c>
      <c r="AR173" s="71">
        <v>0</v>
      </c>
      <c r="AS173" s="111"/>
      <c r="AT173">
        <f t="shared" si="5"/>
        <v>0.67490839120190171</v>
      </c>
      <c r="AU173" t="str">
        <f t="shared" si="4"/>
        <v>Puerto Rico</v>
      </c>
    </row>
    <row r="174" spans="1:47">
      <c r="A174">
        <v>332</v>
      </c>
      <c r="B174" s="72" t="s">
        <v>434</v>
      </c>
      <c r="C174" s="73" t="s">
        <v>153</v>
      </c>
      <c r="D174" s="73">
        <v>2015</v>
      </c>
      <c r="E174" s="59">
        <v>100</v>
      </c>
      <c r="F174" s="60">
        <v>0</v>
      </c>
      <c r="G174" s="60">
        <v>0</v>
      </c>
      <c r="H174" s="61">
        <v>0</v>
      </c>
      <c r="I174" s="62">
        <v>0</v>
      </c>
      <c r="J174" s="63">
        <v>0</v>
      </c>
      <c r="K174" s="64">
        <v>0</v>
      </c>
      <c r="L174" s="60">
        <v>0</v>
      </c>
      <c r="M174" s="65">
        <v>0</v>
      </c>
      <c r="N174" s="61">
        <v>0</v>
      </c>
      <c r="O174" s="63">
        <v>0</v>
      </c>
      <c r="P174" s="63">
        <v>0</v>
      </c>
      <c r="Q174" s="74">
        <v>0</v>
      </c>
      <c r="R174" s="66">
        <v>0</v>
      </c>
      <c r="S174" s="66">
        <v>0</v>
      </c>
      <c r="T174" s="67">
        <v>0</v>
      </c>
      <c r="U174" s="68">
        <v>0</v>
      </c>
      <c r="V174" s="68">
        <v>0</v>
      </c>
      <c r="W174" s="69"/>
      <c r="X174" s="70">
        <v>88.45</v>
      </c>
      <c r="Y174" s="66">
        <v>11.55</v>
      </c>
      <c r="Z174" s="66">
        <v>0</v>
      </c>
      <c r="AA174" s="66">
        <v>76.900000000000006</v>
      </c>
      <c r="AB174" s="66">
        <v>23.099999999999991</v>
      </c>
      <c r="AC174" s="66">
        <v>0</v>
      </c>
      <c r="AD174" s="66">
        <v>76.900000000000006</v>
      </c>
      <c r="AE174" s="70">
        <v>0</v>
      </c>
      <c r="AF174" s="66">
        <v>0</v>
      </c>
      <c r="AG174" s="66">
        <v>0</v>
      </c>
      <c r="AH174" s="66">
        <v>0</v>
      </c>
      <c r="AI174" s="66">
        <v>0</v>
      </c>
      <c r="AJ174" s="66">
        <v>0</v>
      </c>
      <c r="AK174" s="66">
        <v>0</v>
      </c>
      <c r="AL174" s="70">
        <v>0</v>
      </c>
      <c r="AM174" s="66">
        <v>0</v>
      </c>
      <c r="AN174" s="66">
        <v>0</v>
      </c>
      <c r="AO174" s="66">
        <v>0</v>
      </c>
      <c r="AP174" s="66">
        <v>0</v>
      </c>
      <c r="AQ174" s="71">
        <v>0</v>
      </c>
      <c r="AR174" s="71">
        <v>0</v>
      </c>
      <c r="AS174" s="111"/>
      <c r="AT174">
        <f t="shared" si="5"/>
        <v>0</v>
      </c>
      <c r="AU174" t="str">
        <f t="shared" si="4"/>
        <v>Qatar</v>
      </c>
    </row>
    <row r="175" spans="1:47">
      <c r="A175">
        <v>334</v>
      </c>
      <c r="B175" s="72" t="s">
        <v>435</v>
      </c>
      <c r="C175" s="73" t="s">
        <v>154</v>
      </c>
      <c r="D175" s="73">
        <v>2015</v>
      </c>
      <c r="E175" s="59">
        <v>99.887537141167257</v>
      </c>
      <c r="F175" s="60">
        <v>0</v>
      </c>
      <c r="G175" s="60">
        <v>0.1124628588327425</v>
      </c>
      <c r="H175" s="61">
        <v>0</v>
      </c>
      <c r="I175" s="62">
        <v>-7.4975239112973213E-3</v>
      </c>
      <c r="J175" s="63">
        <v>0</v>
      </c>
      <c r="K175" s="64">
        <v>0</v>
      </c>
      <c r="L175" s="60">
        <v>0</v>
      </c>
      <c r="M175" s="65">
        <v>0</v>
      </c>
      <c r="N175" s="61">
        <v>0</v>
      </c>
      <c r="O175" s="63">
        <v>0</v>
      </c>
      <c r="P175" s="63">
        <v>0</v>
      </c>
      <c r="Q175" s="74">
        <v>0</v>
      </c>
      <c r="R175" s="66">
        <v>0</v>
      </c>
      <c r="S175" s="66">
        <v>0</v>
      </c>
      <c r="T175" s="67">
        <v>0</v>
      </c>
      <c r="U175" s="68">
        <v>0</v>
      </c>
      <c r="V175" s="68">
        <v>0</v>
      </c>
      <c r="W175" s="69"/>
      <c r="X175" s="70">
        <v>98.462658948839575</v>
      </c>
      <c r="Y175" s="66">
        <v>1.4248781923276821</v>
      </c>
      <c r="Z175" s="66">
        <v>0</v>
      </c>
      <c r="AA175" s="66">
        <v>97.037780756511893</v>
      </c>
      <c r="AB175" s="66">
        <v>2.8497563846553651</v>
      </c>
      <c r="AC175" s="66">
        <v>0</v>
      </c>
      <c r="AD175" s="66">
        <v>97.037780756511893</v>
      </c>
      <c r="AE175" s="70">
        <v>0</v>
      </c>
      <c r="AF175" s="66">
        <v>0</v>
      </c>
      <c r="AG175" s="66">
        <v>0</v>
      </c>
      <c r="AH175" s="66">
        <v>0</v>
      </c>
      <c r="AI175" s="66">
        <v>0</v>
      </c>
      <c r="AJ175" s="66">
        <v>0</v>
      </c>
      <c r="AK175" s="66">
        <v>0</v>
      </c>
      <c r="AL175" s="70">
        <v>0</v>
      </c>
      <c r="AM175" s="66">
        <v>0</v>
      </c>
      <c r="AN175" s="66">
        <v>0</v>
      </c>
      <c r="AO175" s="66">
        <v>0</v>
      </c>
      <c r="AP175" s="66">
        <v>0</v>
      </c>
      <c r="AQ175" s="71">
        <v>0</v>
      </c>
      <c r="AR175" s="71">
        <v>0</v>
      </c>
      <c r="AS175" s="111"/>
      <c r="AT175">
        <f t="shared" si="5"/>
        <v>0</v>
      </c>
      <c r="AU175" t="str">
        <f t="shared" si="4"/>
        <v>Republic of Korea</v>
      </c>
    </row>
    <row r="176" spans="1:47">
      <c r="A176">
        <v>336</v>
      </c>
      <c r="B176" s="72" t="s">
        <v>436</v>
      </c>
      <c r="C176" s="73" t="s">
        <v>155</v>
      </c>
      <c r="D176" s="73">
        <v>2015</v>
      </c>
      <c r="E176" s="59">
        <v>78.398943978414266</v>
      </c>
      <c r="F176" s="60">
        <v>7.6915311110261166</v>
      </c>
      <c r="G176" s="60">
        <v>13.78117991055962</v>
      </c>
      <c r="H176" s="61">
        <v>0.12834500000000049</v>
      </c>
      <c r="I176" s="62">
        <v>0.42018517851829529</v>
      </c>
      <c r="J176" s="63">
        <v>8.5563333705067635E-3</v>
      </c>
      <c r="K176" s="64">
        <v>69.969296239184288</v>
      </c>
      <c r="L176" s="60">
        <v>6.4780264822296267</v>
      </c>
      <c r="M176" s="65">
        <v>23.319343945252751</v>
      </c>
      <c r="N176" s="61">
        <v>0.23333333333333431</v>
      </c>
      <c r="O176" s="63">
        <v>0.6603083610534668</v>
      </c>
      <c r="P176" s="63">
        <v>1.5555555932223797E-2</v>
      </c>
      <c r="Q176" s="74">
        <v>88.703928396601725</v>
      </c>
      <c r="R176" s="66">
        <v>9.1750030991792659</v>
      </c>
      <c r="S176" s="66">
        <v>2.1210685042190112</v>
      </c>
      <c r="T176" s="67">
        <v>0</v>
      </c>
      <c r="U176" s="68">
        <v>0.15808919072151184</v>
      </c>
      <c r="V176" s="68">
        <v>0</v>
      </c>
      <c r="W176" s="69"/>
      <c r="X176" s="70">
        <v>0</v>
      </c>
      <c r="Y176" s="66">
        <v>0</v>
      </c>
      <c r="Z176" s="66">
        <v>0</v>
      </c>
      <c r="AA176" s="66">
        <v>0</v>
      </c>
      <c r="AB176" s="66">
        <v>26.250858177249579</v>
      </c>
      <c r="AC176" s="66">
        <v>22.011232009774389</v>
      </c>
      <c r="AD176" s="66">
        <v>30.136853791390301</v>
      </c>
      <c r="AE176" s="70">
        <v>0</v>
      </c>
      <c r="AF176" s="66">
        <v>0</v>
      </c>
      <c r="AG176" s="66">
        <v>0</v>
      </c>
      <c r="AH176" s="66">
        <v>0</v>
      </c>
      <c r="AI176" s="66">
        <v>39.686551998433231</v>
      </c>
      <c r="AJ176" s="66">
        <v>28.824349364681741</v>
      </c>
      <c r="AK176" s="66">
        <v>1.458394876069308</v>
      </c>
      <c r="AL176" s="70">
        <v>0</v>
      </c>
      <c r="AM176" s="66">
        <v>0</v>
      </c>
      <c r="AN176" s="66">
        <v>0</v>
      </c>
      <c r="AO176" s="66">
        <v>0</v>
      </c>
      <c r="AP176" s="66">
        <v>10.02157152408153</v>
      </c>
      <c r="AQ176" s="71">
        <v>13.79275352543298</v>
      </c>
      <c r="AR176" s="71">
        <v>64.889603347087217</v>
      </c>
      <c r="AS176" s="111"/>
      <c r="AT176">
        <f t="shared" si="5"/>
        <v>1</v>
      </c>
      <c r="AU176" t="str">
        <f t="shared" si="4"/>
        <v>Republic of Moldova</v>
      </c>
    </row>
    <row r="177" spans="1:47">
      <c r="A177">
        <v>338</v>
      </c>
      <c r="B177" s="72" t="s">
        <v>437</v>
      </c>
      <c r="C177" s="73" t="s">
        <v>156</v>
      </c>
      <c r="D177" s="73">
        <v>2015</v>
      </c>
      <c r="E177" s="59">
        <v>98.974999999999994</v>
      </c>
      <c r="F177" s="60">
        <v>0</v>
      </c>
      <c r="G177" s="60">
        <v>1.0250000000000059</v>
      </c>
      <c r="H177" s="61">
        <v>0</v>
      </c>
      <c r="I177" s="62">
        <v>0</v>
      </c>
      <c r="J177" s="63">
        <v>0</v>
      </c>
      <c r="K177" s="64">
        <v>0</v>
      </c>
      <c r="L177" s="60">
        <v>0</v>
      </c>
      <c r="M177" s="65">
        <v>0</v>
      </c>
      <c r="N177" s="61">
        <v>0</v>
      </c>
      <c r="O177" s="63">
        <v>0</v>
      </c>
      <c r="P177" s="63">
        <v>0</v>
      </c>
      <c r="Q177" s="74">
        <v>0</v>
      </c>
      <c r="R177" s="66">
        <v>0</v>
      </c>
      <c r="S177" s="66">
        <v>0</v>
      </c>
      <c r="T177" s="67">
        <v>0</v>
      </c>
      <c r="U177" s="68">
        <v>0</v>
      </c>
      <c r="V177" s="68">
        <v>0</v>
      </c>
      <c r="W177" s="69"/>
      <c r="X177" s="70">
        <v>0</v>
      </c>
      <c r="Y177" s="66">
        <v>0</v>
      </c>
      <c r="Z177" s="66">
        <v>0</v>
      </c>
      <c r="AA177" s="66">
        <v>0</v>
      </c>
      <c r="AB177" s="66">
        <v>4.625</v>
      </c>
      <c r="AC177" s="66">
        <v>52.099999999999987</v>
      </c>
      <c r="AD177" s="66">
        <v>42.25</v>
      </c>
      <c r="AE177" s="70">
        <v>0</v>
      </c>
      <c r="AF177" s="66">
        <v>0</v>
      </c>
      <c r="AG177" s="66">
        <v>0</v>
      </c>
      <c r="AH177" s="66">
        <v>0</v>
      </c>
      <c r="AI177" s="66">
        <v>0</v>
      </c>
      <c r="AJ177" s="66">
        <v>0</v>
      </c>
      <c r="AK177" s="66">
        <v>0</v>
      </c>
      <c r="AL177" s="70">
        <v>0</v>
      </c>
      <c r="AM177" s="66">
        <v>0</v>
      </c>
      <c r="AN177" s="66">
        <v>0</v>
      </c>
      <c r="AO177" s="66">
        <v>0</v>
      </c>
      <c r="AP177" s="66">
        <v>0</v>
      </c>
      <c r="AQ177" s="71">
        <v>0</v>
      </c>
      <c r="AR177" s="71">
        <v>0</v>
      </c>
      <c r="AS177" s="111"/>
      <c r="AT177">
        <f t="shared" si="5"/>
        <v>1</v>
      </c>
      <c r="AU177" t="str">
        <f t="shared" si="4"/>
        <v>Réunion</v>
      </c>
    </row>
    <row r="178" spans="1:47">
      <c r="A178">
        <v>340</v>
      </c>
      <c r="B178" s="72" t="s">
        <v>438</v>
      </c>
      <c r="C178" s="73" t="s">
        <v>157</v>
      </c>
      <c r="D178" s="73">
        <v>2015</v>
      </c>
      <c r="E178" s="59">
        <v>81.812718585225497</v>
      </c>
      <c r="F178" s="60">
        <v>0.2353485315135152</v>
      </c>
      <c r="G178" s="60">
        <v>17.951932883260969</v>
      </c>
      <c r="H178" s="61">
        <v>0</v>
      </c>
      <c r="I178" s="62">
        <v>0</v>
      </c>
      <c r="J178" s="63">
        <v>0</v>
      </c>
      <c r="K178" s="64">
        <v>68.144910839219406</v>
      </c>
      <c r="L178" s="60">
        <v>0.40227220093990201</v>
      </c>
      <c r="M178" s="65">
        <v>31.452816959840689</v>
      </c>
      <c r="N178" s="61">
        <v>0</v>
      </c>
      <c r="O178" s="63">
        <v>0</v>
      </c>
      <c r="P178" s="63">
        <v>0</v>
      </c>
      <c r="Q178" s="74">
        <v>93.19404166908177</v>
      </c>
      <c r="R178" s="66">
        <v>9.6349487380802998E-2</v>
      </c>
      <c r="S178" s="66">
        <v>6.7096088435374241</v>
      </c>
      <c r="T178" s="67">
        <v>0</v>
      </c>
      <c r="U178" s="68">
        <v>0</v>
      </c>
      <c r="V178" s="68">
        <v>0</v>
      </c>
      <c r="W178" s="69"/>
      <c r="X178" s="70">
        <v>57.084368642013267</v>
      </c>
      <c r="Y178" s="66">
        <v>17.74631652196296</v>
      </c>
      <c r="Z178" s="66">
        <v>0</v>
      </c>
      <c r="AA178" s="66">
        <v>39.338052120050307</v>
      </c>
      <c r="AB178" s="66">
        <v>31.12519673499451</v>
      </c>
      <c r="AC178" s="66">
        <v>4.3674363089314108</v>
      </c>
      <c r="AD178" s="66">
        <v>46.320085541299598</v>
      </c>
      <c r="AE178" s="70">
        <v>0</v>
      </c>
      <c r="AF178" s="66">
        <v>0</v>
      </c>
      <c r="AG178" s="66">
        <v>0</v>
      </c>
      <c r="AH178" s="66">
        <v>0</v>
      </c>
      <c r="AI178" s="66">
        <v>0</v>
      </c>
      <c r="AJ178" s="66">
        <v>0</v>
      </c>
      <c r="AK178" s="66">
        <v>0</v>
      </c>
      <c r="AL178" s="70">
        <v>0</v>
      </c>
      <c r="AM178" s="66">
        <v>0</v>
      </c>
      <c r="AN178" s="66">
        <v>0</v>
      </c>
      <c r="AO178" s="66">
        <v>0</v>
      </c>
      <c r="AP178" s="66">
        <v>0</v>
      </c>
      <c r="AQ178" s="71">
        <v>0</v>
      </c>
      <c r="AR178" s="71">
        <v>0</v>
      </c>
      <c r="AS178" s="111"/>
      <c r="AT178">
        <f t="shared" si="5"/>
        <v>0.15073446734082599</v>
      </c>
      <c r="AU178" t="str">
        <f t="shared" si="4"/>
        <v>Romania</v>
      </c>
    </row>
    <row r="179" spans="1:47">
      <c r="A179">
        <v>342</v>
      </c>
      <c r="B179" s="72" t="s">
        <v>439</v>
      </c>
      <c r="C179" s="73" t="s">
        <v>158</v>
      </c>
      <c r="D179" s="73">
        <v>2015</v>
      </c>
      <c r="E179" s="59">
        <v>88.786698017326586</v>
      </c>
      <c r="F179" s="60">
        <v>0</v>
      </c>
      <c r="G179" s="60">
        <v>11.213301982673419</v>
      </c>
      <c r="H179" s="61">
        <v>0</v>
      </c>
      <c r="I179" s="62">
        <v>0.33258154988288879</v>
      </c>
      <c r="J179" s="63">
        <v>0</v>
      </c>
      <c r="K179" s="64">
        <v>75.878173048710778</v>
      </c>
      <c r="L179" s="60">
        <v>0</v>
      </c>
      <c r="M179" s="65">
        <v>24.121826951289218</v>
      </c>
      <c r="N179" s="61">
        <v>0</v>
      </c>
      <c r="O179" s="63">
        <v>1.4108651876449585</v>
      </c>
      <c r="P179" s="63">
        <v>0</v>
      </c>
      <c r="Q179" s="74">
        <v>93.320240080134141</v>
      </c>
      <c r="R179" s="66">
        <v>0</v>
      </c>
      <c r="S179" s="66">
        <v>6.6797599198658588</v>
      </c>
      <c r="T179" s="67">
        <v>0</v>
      </c>
      <c r="U179" s="68">
        <v>-6.9618642330169678E-2</v>
      </c>
      <c r="V179" s="68">
        <v>0</v>
      </c>
      <c r="W179" s="69"/>
      <c r="X179" s="70">
        <v>0</v>
      </c>
      <c r="Y179" s="66">
        <v>0</v>
      </c>
      <c r="Z179" s="66">
        <v>0</v>
      </c>
      <c r="AA179" s="66">
        <v>0</v>
      </c>
      <c r="AB179" s="66">
        <v>11.42018013610047</v>
      </c>
      <c r="AC179" s="66">
        <v>2.9797600000000002</v>
      </c>
      <c r="AD179" s="66">
        <v>74.386757881226117</v>
      </c>
      <c r="AE179" s="70">
        <v>0</v>
      </c>
      <c r="AF179" s="66">
        <v>0</v>
      </c>
      <c r="AG179" s="66">
        <v>0</v>
      </c>
      <c r="AH179" s="66">
        <v>0</v>
      </c>
      <c r="AI179" s="66">
        <v>29.39763752818844</v>
      </c>
      <c r="AJ179" s="66">
        <v>5.2</v>
      </c>
      <c r="AK179" s="66">
        <v>41.280535520522342</v>
      </c>
      <c r="AL179" s="70">
        <v>0</v>
      </c>
      <c r="AM179" s="66">
        <v>0</v>
      </c>
      <c r="AN179" s="66">
        <v>0</v>
      </c>
      <c r="AO179" s="66">
        <v>0</v>
      </c>
      <c r="AP179" s="66">
        <v>5.1064022670166906</v>
      </c>
      <c r="AQ179" s="71">
        <v>2.2000000000000002</v>
      </c>
      <c r="AR179" s="71">
        <v>86.013837813117448</v>
      </c>
      <c r="AS179" s="111"/>
      <c r="AT179">
        <f t="shared" si="5"/>
        <v>1</v>
      </c>
      <c r="AU179" t="str">
        <f t="shared" si="4"/>
        <v>Russian Federation</v>
      </c>
    </row>
    <row r="180" spans="1:47">
      <c r="A180">
        <v>344</v>
      </c>
      <c r="B180" s="72" t="s">
        <v>440</v>
      </c>
      <c r="C180" s="73" t="s">
        <v>159</v>
      </c>
      <c r="D180" s="73">
        <v>2015</v>
      </c>
      <c r="E180" s="59">
        <v>62.347825035946023</v>
      </c>
      <c r="F180" s="60">
        <v>13.861520214425321</v>
      </c>
      <c r="G180" s="60">
        <v>21.66952559727476</v>
      </c>
      <c r="H180" s="61">
        <v>2.1211291523539049</v>
      </c>
      <c r="I180" s="62">
        <v>1.206534743309021</v>
      </c>
      <c r="J180" s="63">
        <v>-0.1585652083158493</v>
      </c>
      <c r="K180" s="64">
        <v>64.401733798607538</v>
      </c>
      <c r="L180" s="60">
        <v>8.6889538086874367</v>
      </c>
      <c r="M180" s="65">
        <v>24.64169562904021</v>
      </c>
      <c r="N180" s="61">
        <v>2.2676167636648188</v>
      </c>
      <c r="O180" s="63">
        <v>1.4971226453781128</v>
      </c>
      <c r="P180" s="63">
        <v>-0.18368250131607056</v>
      </c>
      <c r="Q180" s="74">
        <v>57.27282899606157</v>
      </c>
      <c r="R180" s="66">
        <v>26.6423966108737</v>
      </c>
      <c r="S180" s="66">
        <v>14.32560097156405</v>
      </c>
      <c r="T180" s="67">
        <v>1.759173421500666</v>
      </c>
      <c r="U180" s="68">
        <v>-7.6210172846913338E-3</v>
      </c>
      <c r="V180" s="68">
        <v>1.6128487884998322E-2</v>
      </c>
      <c r="W180" s="69"/>
      <c r="X180" s="70">
        <v>0</v>
      </c>
      <c r="Y180" s="66">
        <v>0</v>
      </c>
      <c r="Z180" s="66">
        <v>0</v>
      </c>
      <c r="AA180" s="66">
        <v>1.110295515189305</v>
      </c>
      <c r="AB180" s="66">
        <v>60.504037982676302</v>
      </c>
      <c r="AC180" s="66">
        <v>0.33728024839957199</v>
      </c>
      <c r="AD180" s="66">
        <v>1.506506804870156</v>
      </c>
      <c r="AE180" s="70">
        <v>0</v>
      </c>
      <c r="AF180" s="66">
        <v>0</v>
      </c>
      <c r="AG180" s="66">
        <v>0</v>
      </c>
      <c r="AH180" s="66">
        <v>9.4791534283711898E-2</v>
      </c>
      <c r="AI180" s="66">
        <v>64.172395653104005</v>
      </c>
      <c r="AJ180" s="66">
        <v>0.10072005285262969</v>
      </c>
      <c r="AK180" s="66">
        <v>0.12861809265089821</v>
      </c>
      <c r="AL180" s="70">
        <v>0</v>
      </c>
      <c r="AM180" s="66">
        <v>0</v>
      </c>
      <c r="AN180" s="66">
        <v>0</v>
      </c>
      <c r="AO180" s="66">
        <v>3.0335313590165809</v>
      </c>
      <c r="AP180" s="66">
        <v>52.372923162485939</v>
      </c>
      <c r="AQ180" s="71">
        <v>0.78385242921120246</v>
      </c>
      <c r="AR180" s="71">
        <v>4.1160534043644246</v>
      </c>
      <c r="AS180" s="111"/>
      <c r="AT180">
        <f t="shared" si="5"/>
        <v>0.26299999999999996</v>
      </c>
      <c r="AU180" t="str">
        <f t="shared" si="4"/>
        <v>Rwanda</v>
      </c>
    </row>
    <row r="181" spans="1:47">
      <c r="A181">
        <v>346</v>
      </c>
      <c r="B181" s="72" t="s">
        <v>441</v>
      </c>
      <c r="C181" s="73" t="s">
        <v>160</v>
      </c>
      <c r="D181" s="73">
        <v>2015</v>
      </c>
      <c r="E181" s="59">
        <v>99.887500000000003</v>
      </c>
      <c r="F181" s="60">
        <v>0</v>
      </c>
      <c r="G181" s="60">
        <v>0.1124999999999972</v>
      </c>
      <c r="H181" s="61">
        <v>0</v>
      </c>
      <c r="I181" s="62">
        <v>0</v>
      </c>
      <c r="J181" s="63">
        <v>0</v>
      </c>
      <c r="K181" s="64">
        <v>0</v>
      </c>
      <c r="L181" s="60">
        <v>0</v>
      </c>
      <c r="M181" s="65">
        <v>0</v>
      </c>
      <c r="N181" s="61">
        <v>0</v>
      </c>
      <c r="O181" s="63">
        <v>0</v>
      </c>
      <c r="P181" s="63">
        <v>0</v>
      </c>
      <c r="Q181" s="74">
        <v>0</v>
      </c>
      <c r="R181" s="66">
        <v>0</v>
      </c>
      <c r="S181" s="66">
        <v>0</v>
      </c>
      <c r="T181" s="67">
        <v>0</v>
      </c>
      <c r="U181" s="68">
        <v>0</v>
      </c>
      <c r="V181" s="68">
        <v>0</v>
      </c>
      <c r="W181" s="69"/>
      <c r="X181" s="70">
        <v>0</v>
      </c>
      <c r="Y181" s="66">
        <v>0</v>
      </c>
      <c r="Z181" s="66">
        <v>0</v>
      </c>
      <c r="AA181" s="66">
        <v>0</v>
      </c>
      <c r="AB181" s="66">
        <v>8.7499999999998607E-2</v>
      </c>
      <c r="AC181" s="66">
        <v>47.7</v>
      </c>
      <c r="AD181" s="66">
        <v>52.1</v>
      </c>
      <c r="AE181" s="70">
        <v>0</v>
      </c>
      <c r="AF181" s="66">
        <v>0</v>
      </c>
      <c r="AG181" s="66">
        <v>0</v>
      </c>
      <c r="AH181" s="66">
        <v>0</v>
      </c>
      <c r="AI181" s="66">
        <v>0</v>
      </c>
      <c r="AJ181" s="66">
        <v>0</v>
      </c>
      <c r="AK181" s="66">
        <v>0</v>
      </c>
      <c r="AL181" s="70">
        <v>0</v>
      </c>
      <c r="AM181" s="66">
        <v>0</v>
      </c>
      <c r="AN181" s="66">
        <v>0</v>
      </c>
      <c r="AO181" s="66">
        <v>0</v>
      </c>
      <c r="AP181" s="66">
        <v>0</v>
      </c>
      <c r="AQ181" s="71">
        <v>0</v>
      </c>
      <c r="AR181" s="71">
        <v>0</v>
      </c>
      <c r="AS181" s="111"/>
      <c r="AT181">
        <f t="shared" si="5"/>
        <v>1</v>
      </c>
      <c r="AU181" t="str">
        <f t="shared" si="4"/>
        <v>Saint Helena</v>
      </c>
    </row>
    <row r="182" spans="1:47">
      <c r="A182">
        <v>348</v>
      </c>
      <c r="B182" s="72" t="s">
        <v>442</v>
      </c>
      <c r="C182" s="73" t="s">
        <v>161</v>
      </c>
      <c r="D182" s="73">
        <v>2015</v>
      </c>
      <c r="E182" s="59">
        <v>0</v>
      </c>
      <c r="F182" s="60">
        <v>0</v>
      </c>
      <c r="G182" s="60">
        <v>0</v>
      </c>
      <c r="H182" s="61">
        <v>0</v>
      </c>
      <c r="I182" s="62">
        <v>0</v>
      </c>
      <c r="J182" s="63">
        <v>0</v>
      </c>
      <c r="K182" s="64">
        <v>0</v>
      </c>
      <c r="L182" s="60">
        <v>0</v>
      </c>
      <c r="M182" s="65">
        <v>0</v>
      </c>
      <c r="N182" s="61">
        <v>0</v>
      </c>
      <c r="O182" s="63">
        <v>0</v>
      </c>
      <c r="P182" s="63">
        <v>0</v>
      </c>
      <c r="Q182" s="74">
        <v>0</v>
      </c>
      <c r="R182" s="66">
        <v>0</v>
      </c>
      <c r="S182" s="66">
        <v>0</v>
      </c>
      <c r="T182" s="67">
        <v>0</v>
      </c>
      <c r="U182" s="68">
        <v>0</v>
      </c>
      <c r="V182" s="68">
        <v>0</v>
      </c>
      <c r="W182" s="69"/>
      <c r="X182" s="70">
        <v>0</v>
      </c>
      <c r="Y182" s="66">
        <v>0</v>
      </c>
      <c r="Z182" s="66">
        <v>0</v>
      </c>
      <c r="AA182" s="66">
        <v>0</v>
      </c>
      <c r="AB182" s="66">
        <v>0</v>
      </c>
      <c r="AC182" s="66">
        <v>0</v>
      </c>
      <c r="AD182" s="66">
        <v>0</v>
      </c>
      <c r="AE182" s="70">
        <v>0</v>
      </c>
      <c r="AF182" s="66">
        <v>0</v>
      </c>
      <c r="AG182" s="66">
        <v>0</v>
      </c>
      <c r="AH182" s="66">
        <v>0</v>
      </c>
      <c r="AI182" s="66">
        <v>0</v>
      </c>
      <c r="AJ182" s="66">
        <v>0</v>
      </c>
      <c r="AK182" s="66">
        <v>0</v>
      </c>
      <c r="AL182" s="70">
        <v>0</v>
      </c>
      <c r="AM182" s="66">
        <v>0</v>
      </c>
      <c r="AN182" s="66">
        <v>0</v>
      </c>
      <c r="AO182" s="66">
        <v>0</v>
      </c>
      <c r="AP182" s="66">
        <v>0</v>
      </c>
      <c r="AQ182" s="71">
        <v>0</v>
      </c>
      <c r="AR182" s="71">
        <v>0</v>
      </c>
      <c r="AS182" s="111"/>
      <c r="AT182" t="e">
        <f t="shared" si="5"/>
        <v>#DIV/0!</v>
      </c>
      <c r="AU182" t="str">
        <f t="shared" si="4"/>
        <v>Saint Kitts and Nevis</v>
      </c>
    </row>
    <row r="183" spans="1:47">
      <c r="A183">
        <v>350</v>
      </c>
      <c r="B183" s="72" t="s">
        <v>443</v>
      </c>
      <c r="C183" s="73" t="s">
        <v>162</v>
      </c>
      <c r="D183" s="73">
        <v>2015</v>
      </c>
      <c r="E183" s="59">
        <v>90.908097613501724</v>
      </c>
      <c r="F183" s="60">
        <v>8.278953861153628</v>
      </c>
      <c r="G183" s="60">
        <v>2.0512872474175301E-2</v>
      </c>
      <c r="H183" s="61">
        <v>0.79243565287047701</v>
      </c>
      <c r="I183" s="62">
        <v>0.81344348192214966</v>
      </c>
      <c r="J183" s="63">
        <v>-0.66886162757873535</v>
      </c>
      <c r="K183" s="64">
        <v>91.957615894039733</v>
      </c>
      <c r="L183" s="60">
        <v>8.042384105960263</v>
      </c>
      <c r="M183" s="65">
        <v>0</v>
      </c>
      <c r="N183" s="61">
        <v>0</v>
      </c>
      <c r="O183" s="63">
        <v>0.79691606760025024</v>
      </c>
      <c r="P183" s="63">
        <v>-0.76005923748016357</v>
      </c>
      <c r="Q183" s="74">
        <v>86.285770452308128</v>
      </c>
      <c r="R183" s="66">
        <v>9.3208631115448117</v>
      </c>
      <c r="S183" s="66">
        <v>0.11085642279601871</v>
      </c>
      <c r="T183" s="67">
        <v>4.2825100133510432</v>
      </c>
      <c r="U183" s="68">
        <v>0.73021847009658813</v>
      </c>
      <c r="V183" s="68">
        <v>-0.33641299605369568</v>
      </c>
      <c r="W183" s="69"/>
      <c r="X183" s="70">
        <v>0</v>
      </c>
      <c r="Y183" s="66">
        <v>0</v>
      </c>
      <c r="Z183" s="66">
        <v>0</v>
      </c>
      <c r="AA183" s="66">
        <v>2.1147138008593132</v>
      </c>
      <c r="AB183" s="66">
        <v>11.50577318974269</v>
      </c>
      <c r="AC183" s="66">
        <v>74.80512050884748</v>
      </c>
      <c r="AD183" s="66">
        <v>4.5972039149115496</v>
      </c>
      <c r="AE183" s="70">
        <v>0</v>
      </c>
      <c r="AF183" s="66">
        <v>0</v>
      </c>
      <c r="AG183" s="66">
        <v>0</v>
      </c>
      <c r="AH183" s="66">
        <v>1.56571352226705</v>
      </c>
      <c r="AI183" s="66">
        <v>13.59448029372318</v>
      </c>
      <c r="AJ183" s="66">
        <v>74.959410551909926</v>
      </c>
      <c r="AK183" s="66">
        <v>3.4037250484066299</v>
      </c>
      <c r="AL183" s="70">
        <v>0</v>
      </c>
      <c r="AM183" s="66">
        <v>0</v>
      </c>
      <c r="AN183" s="66">
        <v>0</v>
      </c>
      <c r="AO183" s="66">
        <v>4.4857669754207903</v>
      </c>
      <c r="AP183" s="66">
        <v>2.4664965089077739</v>
      </c>
      <c r="AQ183" s="71">
        <v>74.067606605529065</v>
      </c>
      <c r="AR183" s="71">
        <v>9.7516673378712824</v>
      </c>
      <c r="AS183" s="111"/>
      <c r="AT183">
        <f t="shared" si="5"/>
        <v>0.53999999999999992</v>
      </c>
      <c r="AU183" t="str">
        <f t="shared" si="4"/>
        <v>Saint Lucia</v>
      </c>
    </row>
    <row r="184" spans="1:47">
      <c r="A184">
        <v>352</v>
      </c>
      <c r="B184" s="72" t="s">
        <v>444</v>
      </c>
      <c r="C184" s="73" t="s">
        <v>163</v>
      </c>
      <c r="D184" s="73">
        <v>2015</v>
      </c>
      <c r="E184" s="59">
        <v>0</v>
      </c>
      <c r="F184" s="60">
        <v>0</v>
      </c>
      <c r="G184" s="60">
        <v>0</v>
      </c>
      <c r="H184" s="61">
        <v>0</v>
      </c>
      <c r="I184" s="62">
        <v>0</v>
      </c>
      <c r="J184" s="63">
        <v>0</v>
      </c>
      <c r="K184" s="64">
        <v>0</v>
      </c>
      <c r="L184" s="60">
        <v>0</v>
      </c>
      <c r="M184" s="65">
        <v>0</v>
      </c>
      <c r="N184" s="61">
        <v>0</v>
      </c>
      <c r="O184" s="63">
        <v>0</v>
      </c>
      <c r="P184" s="63">
        <v>0</v>
      </c>
      <c r="Q184" s="74">
        <v>0</v>
      </c>
      <c r="R184" s="66">
        <v>0</v>
      </c>
      <c r="S184" s="66">
        <v>0</v>
      </c>
      <c r="T184" s="67">
        <v>0</v>
      </c>
      <c r="U184" s="68">
        <v>0</v>
      </c>
      <c r="V184" s="68">
        <v>0</v>
      </c>
      <c r="W184" s="69"/>
      <c r="X184" s="70">
        <v>0</v>
      </c>
      <c r="Y184" s="66">
        <v>0</v>
      </c>
      <c r="Z184" s="66">
        <v>0</v>
      </c>
      <c r="AA184" s="66">
        <v>0</v>
      </c>
      <c r="AB184" s="66">
        <v>0</v>
      </c>
      <c r="AC184" s="66">
        <v>0</v>
      </c>
      <c r="AD184" s="66">
        <v>0</v>
      </c>
      <c r="AE184" s="70">
        <v>0</v>
      </c>
      <c r="AF184" s="66">
        <v>0</v>
      </c>
      <c r="AG184" s="66">
        <v>0</v>
      </c>
      <c r="AH184" s="66">
        <v>0</v>
      </c>
      <c r="AI184" s="66">
        <v>0</v>
      </c>
      <c r="AJ184" s="66">
        <v>0</v>
      </c>
      <c r="AK184" s="66">
        <v>0</v>
      </c>
      <c r="AL184" s="70">
        <v>0</v>
      </c>
      <c r="AM184" s="66">
        <v>0</v>
      </c>
      <c r="AN184" s="66">
        <v>0</v>
      </c>
      <c r="AO184" s="66">
        <v>0</v>
      </c>
      <c r="AP184" s="66">
        <v>0</v>
      </c>
      <c r="AQ184" s="71">
        <v>0</v>
      </c>
      <c r="AR184" s="71">
        <v>0</v>
      </c>
      <c r="AS184" s="111"/>
      <c r="AT184" t="e">
        <f t="shared" si="5"/>
        <v>#DIV/0!</v>
      </c>
      <c r="AU184" t="str">
        <f t="shared" si="4"/>
        <v>Saint Pierre and Miquelon</v>
      </c>
    </row>
    <row r="185" spans="1:47">
      <c r="A185">
        <v>354</v>
      </c>
      <c r="B185" s="72" t="s">
        <v>445</v>
      </c>
      <c r="C185" s="73" t="s">
        <v>164</v>
      </c>
      <c r="D185" s="73">
        <v>2015</v>
      </c>
      <c r="E185" s="59">
        <v>87.184344900735411</v>
      </c>
      <c r="F185" s="60">
        <v>2.9752671993012081</v>
      </c>
      <c r="G185" s="60">
        <v>6.4816026889168086</v>
      </c>
      <c r="H185" s="61">
        <v>3.3587852110465799</v>
      </c>
      <c r="I185" s="62">
        <v>1.0903044939041138</v>
      </c>
      <c r="J185" s="63">
        <v>4.6285387128591537E-2</v>
      </c>
      <c r="K185" s="64">
        <v>0</v>
      </c>
      <c r="L185" s="60">
        <v>0</v>
      </c>
      <c r="M185" s="65">
        <v>0</v>
      </c>
      <c r="N185" s="61">
        <v>0</v>
      </c>
      <c r="O185" s="63">
        <v>0</v>
      </c>
      <c r="P185" s="63">
        <v>0</v>
      </c>
      <c r="Q185" s="74">
        <v>0</v>
      </c>
      <c r="R185" s="66">
        <v>0</v>
      </c>
      <c r="S185" s="66">
        <v>0</v>
      </c>
      <c r="T185" s="67">
        <v>0</v>
      </c>
      <c r="U185" s="68">
        <v>0</v>
      </c>
      <c r="V185" s="68">
        <v>0</v>
      </c>
      <c r="W185" s="69"/>
      <c r="X185" s="70">
        <v>0</v>
      </c>
      <c r="Y185" s="66">
        <v>0</v>
      </c>
      <c r="Z185" s="66">
        <v>0</v>
      </c>
      <c r="AA185" s="66">
        <v>0</v>
      </c>
      <c r="AB185" s="66">
        <v>15.616919472813111</v>
      </c>
      <c r="AC185" s="66">
        <v>64.389957900842106</v>
      </c>
      <c r="AD185" s="66">
        <v>7.1774675270802009</v>
      </c>
      <c r="AE185" s="70">
        <v>0</v>
      </c>
      <c r="AF185" s="66">
        <v>0</v>
      </c>
      <c r="AG185" s="66">
        <v>0</v>
      </c>
      <c r="AH185" s="66">
        <v>0</v>
      </c>
      <c r="AI185" s="66">
        <v>0</v>
      </c>
      <c r="AJ185" s="66">
        <v>0</v>
      </c>
      <c r="AK185" s="66">
        <v>0</v>
      </c>
      <c r="AL185" s="70">
        <v>0</v>
      </c>
      <c r="AM185" s="66">
        <v>0</v>
      </c>
      <c r="AN185" s="66">
        <v>0</v>
      </c>
      <c r="AO185" s="66">
        <v>0</v>
      </c>
      <c r="AP185" s="66">
        <v>0</v>
      </c>
      <c r="AQ185" s="71">
        <v>0</v>
      </c>
      <c r="AR185" s="71">
        <v>0</v>
      </c>
      <c r="AS185" s="111"/>
      <c r="AT185">
        <f t="shared" si="5"/>
        <v>1</v>
      </c>
      <c r="AU185" t="str">
        <f t="shared" si="4"/>
        <v>Saint Vincent and the Grenadines</v>
      </c>
    </row>
    <row r="186" spans="1:47">
      <c r="A186">
        <v>356</v>
      </c>
      <c r="B186" s="72" t="s">
        <v>446</v>
      </c>
      <c r="C186" s="73" t="s">
        <v>165</v>
      </c>
      <c r="D186" s="73">
        <v>2015</v>
      </c>
      <c r="E186" s="59">
        <v>96.620106950093984</v>
      </c>
      <c r="F186" s="60">
        <v>0</v>
      </c>
      <c r="G186" s="60">
        <v>3.2531558499060238</v>
      </c>
      <c r="H186" s="61">
        <v>0.1267371999999963</v>
      </c>
      <c r="I186" s="62">
        <v>-0.13629306852817535</v>
      </c>
      <c r="J186" s="63">
        <v>3.2476133201271296E-3</v>
      </c>
      <c r="K186" s="64">
        <v>96.262898339259721</v>
      </c>
      <c r="L186" s="60">
        <v>0</v>
      </c>
      <c r="M186" s="65">
        <v>3.6371016607402789</v>
      </c>
      <c r="N186" s="61">
        <v>0.1</v>
      </c>
      <c r="O186" s="63">
        <v>-0.14463625848293304</v>
      </c>
      <c r="P186" s="63">
        <v>0</v>
      </c>
      <c r="Q186" s="74">
        <v>98.133296343418579</v>
      </c>
      <c r="R186" s="66">
        <v>0</v>
      </c>
      <c r="S186" s="66">
        <v>1.626703656581441</v>
      </c>
      <c r="T186" s="67">
        <v>0.2399999999999807</v>
      </c>
      <c r="U186" s="68">
        <v>-9.0338073670864105E-2</v>
      </c>
      <c r="V186" s="68">
        <v>1.6000000759959221E-2</v>
      </c>
      <c r="W186" s="69"/>
      <c r="X186" s="70">
        <v>0</v>
      </c>
      <c r="Y186" s="66">
        <v>0</v>
      </c>
      <c r="Z186" s="66">
        <v>0</v>
      </c>
      <c r="AA186" s="66">
        <v>0</v>
      </c>
      <c r="AB186" s="66">
        <v>9.677540496251865</v>
      </c>
      <c r="AC186" s="66">
        <v>86.709915437842113</v>
      </c>
      <c r="AD186" s="66">
        <v>0.23265101599999999</v>
      </c>
      <c r="AE186" s="70">
        <v>0</v>
      </c>
      <c r="AF186" s="66">
        <v>0</v>
      </c>
      <c r="AG186" s="66">
        <v>0</v>
      </c>
      <c r="AH186" s="66">
        <v>0</v>
      </c>
      <c r="AI186" s="66">
        <v>10.403503602417601</v>
      </c>
      <c r="AJ186" s="66">
        <v>85.685794736842126</v>
      </c>
      <c r="AK186" s="66">
        <v>0.1736</v>
      </c>
      <c r="AL186" s="70">
        <v>0</v>
      </c>
      <c r="AM186" s="66">
        <v>0</v>
      </c>
      <c r="AN186" s="66">
        <v>0</v>
      </c>
      <c r="AO186" s="66">
        <v>0</v>
      </c>
      <c r="AP186" s="66">
        <v>6.6022516065764592</v>
      </c>
      <c r="AQ186" s="71">
        <v>91.048244736842122</v>
      </c>
      <c r="AR186" s="71">
        <v>0.48280000000000001</v>
      </c>
      <c r="AS186" s="111"/>
      <c r="AT186">
        <f t="shared" si="5"/>
        <v>1</v>
      </c>
      <c r="AU186" t="str">
        <f t="shared" si="4"/>
        <v>Samoa</v>
      </c>
    </row>
    <row r="187" spans="1:47">
      <c r="A187">
        <v>358</v>
      </c>
      <c r="B187" s="72" t="s">
        <v>447</v>
      </c>
      <c r="C187" s="73" t="s">
        <v>166</v>
      </c>
      <c r="D187" s="73">
        <v>2015</v>
      </c>
      <c r="E187" s="59">
        <v>100</v>
      </c>
      <c r="F187" s="60">
        <v>0</v>
      </c>
      <c r="G187" s="60">
        <v>0</v>
      </c>
      <c r="H187" s="61">
        <v>0</v>
      </c>
      <c r="I187" s="62">
        <v>0</v>
      </c>
      <c r="J187" s="63">
        <v>0</v>
      </c>
      <c r="K187" s="64">
        <v>0</v>
      </c>
      <c r="L187" s="60">
        <v>0</v>
      </c>
      <c r="M187" s="65">
        <v>0</v>
      </c>
      <c r="N187" s="61">
        <v>0</v>
      </c>
      <c r="O187" s="63">
        <v>0</v>
      </c>
      <c r="P187" s="63">
        <v>0</v>
      </c>
      <c r="Q187" s="74">
        <v>0</v>
      </c>
      <c r="R187" s="66">
        <v>0</v>
      </c>
      <c r="S187" s="66">
        <v>0</v>
      </c>
      <c r="T187" s="67">
        <v>0</v>
      </c>
      <c r="U187" s="68">
        <v>0</v>
      </c>
      <c r="V187" s="68">
        <v>0</v>
      </c>
      <c r="W187" s="69"/>
      <c r="X187" s="70">
        <v>77.871500000000012</v>
      </c>
      <c r="Y187" s="66">
        <v>7.5</v>
      </c>
      <c r="Z187" s="66">
        <v>0</v>
      </c>
      <c r="AA187" s="66">
        <v>70.371500000000012</v>
      </c>
      <c r="AB187" s="66">
        <v>0</v>
      </c>
      <c r="AC187" s="66">
        <v>15</v>
      </c>
      <c r="AD187" s="66">
        <v>85</v>
      </c>
      <c r="AE187" s="70">
        <v>0</v>
      </c>
      <c r="AF187" s="66">
        <v>0</v>
      </c>
      <c r="AG187" s="66">
        <v>0</v>
      </c>
      <c r="AH187" s="66">
        <v>0</v>
      </c>
      <c r="AI187" s="66">
        <v>0</v>
      </c>
      <c r="AJ187" s="66">
        <v>0</v>
      </c>
      <c r="AK187" s="66">
        <v>0</v>
      </c>
      <c r="AL187" s="70">
        <v>0</v>
      </c>
      <c r="AM187" s="66">
        <v>0</v>
      </c>
      <c r="AN187" s="66">
        <v>0</v>
      </c>
      <c r="AO187" s="66">
        <v>0</v>
      </c>
      <c r="AP187" s="66">
        <v>0</v>
      </c>
      <c r="AQ187" s="71">
        <v>0</v>
      </c>
      <c r="AR187" s="71">
        <v>0</v>
      </c>
      <c r="AS187" s="111"/>
      <c r="AT187">
        <f t="shared" si="5"/>
        <v>0.17209999999999986</v>
      </c>
      <c r="AU187" t="str">
        <f t="shared" si="4"/>
        <v>San Marino</v>
      </c>
    </row>
    <row r="188" spans="1:47">
      <c r="A188">
        <v>360</v>
      </c>
      <c r="B188" s="72" t="s">
        <v>448</v>
      </c>
      <c r="C188" s="73" t="s">
        <v>167</v>
      </c>
      <c r="D188" s="73">
        <v>2015</v>
      </c>
      <c r="E188" s="59">
        <v>40.10276967608857</v>
      </c>
      <c r="F188" s="60">
        <v>6.3819959679945004</v>
      </c>
      <c r="G188" s="60">
        <v>3.7235494644090248</v>
      </c>
      <c r="H188" s="61">
        <v>49.791684891507913</v>
      </c>
      <c r="I188" s="62">
        <v>1.2824081182479858</v>
      </c>
      <c r="J188" s="63">
        <v>-1.3855670690536499</v>
      </c>
      <c r="K188" s="64">
        <v>28.018554240564679</v>
      </c>
      <c r="L188" s="60">
        <v>6.2415822392686877</v>
      </c>
      <c r="M188" s="65">
        <v>2.9495901647237588</v>
      </c>
      <c r="N188" s="61">
        <v>62.790273355442878</v>
      </c>
      <c r="O188" s="63">
        <v>0.87829595804214478</v>
      </c>
      <c r="P188" s="63">
        <v>-0.9865715503692627</v>
      </c>
      <c r="Q188" s="74">
        <v>46.583378543895194</v>
      </c>
      <c r="R188" s="66">
        <v>6.4572980395602944</v>
      </c>
      <c r="S188" s="66">
        <v>4.1386138537873194</v>
      </c>
      <c r="T188" s="67">
        <v>42.820709562757202</v>
      </c>
      <c r="U188" s="68">
        <v>1.3644118309020996</v>
      </c>
      <c r="V188" s="68">
        <v>-1.4426566362380981</v>
      </c>
      <c r="W188" s="69"/>
      <c r="X188" s="70">
        <v>0</v>
      </c>
      <c r="Y188" s="66">
        <v>0</v>
      </c>
      <c r="Z188" s="66">
        <v>0</v>
      </c>
      <c r="AA188" s="66">
        <v>0</v>
      </c>
      <c r="AB188" s="66">
        <v>24.424604730357231</v>
      </c>
      <c r="AC188" s="66">
        <v>3.159643673192345</v>
      </c>
      <c r="AD188" s="66">
        <v>12.51852127253899</v>
      </c>
      <c r="AE188" s="70">
        <v>0</v>
      </c>
      <c r="AF188" s="66">
        <v>0</v>
      </c>
      <c r="AG188" s="66">
        <v>0</v>
      </c>
      <c r="AH188" s="66">
        <v>0</v>
      </c>
      <c r="AI188" s="66">
        <v>19.723527370166199</v>
      </c>
      <c r="AJ188" s="66">
        <v>1.3278066164332829</v>
      </c>
      <c r="AK188" s="66">
        <v>6.9672202539651957</v>
      </c>
      <c r="AL188" s="70">
        <v>0</v>
      </c>
      <c r="AM188" s="66">
        <v>0</v>
      </c>
      <c r="AN188" s="66">
        <v>0</v>
      </c>
      <c r="AO188" s="66">
        <v>0</v>
      </c>
      <c r="AP188" s="66">
        <v>26.840353506553839</v>
      </c>
      <c r="AQ188" s="71">
        <v>4.176901386683797</v>
      </c>
      <c r="AR188" s="71">
        <v>15.56612365065755</v>
      </c>
      <c r="AS188" s="111"/>
      <c r="AT188">
        <f t="shared" si="5"/>
        <v>1</v>
      </c>
      <c r="AU188" t="str">
        <f t="shared" si="4"/>
        <v>Sao Tome and Principe</v>
      </c>
    </row>
    <row r="189" spans="1:47">
      <c r="A189">
        <v>362</v>
      </c>
      <c r="B189" s="72" t="s">
        <v>449</v>
      </c>
      <c r="C189" s="73" t="s">
        <v>168</v>
      </c>
      <c r="D189" s="73">
        <v>2015</v>
      </c>
      <c r="E189" s="59">
        <v>100</v>
      </c>
      <c r="F189" s="60">
        <v>0</v>
      </c>
      <c r="G189" s="60">
        <v>0</v>
      </c>
      <c r="H189" s="61">
        <v>0</v>
      </c>
      <c r="I189" s="62">
        <v>0.12148639559745789</v>
      </c>
      <c r="J189" s="63">
        <v>0</v>
      </c>
      <c r="K189" s="64">
        <v>0</v>
      </c>
      <c r="L189" s="60">
        <v>0</v>
      </c>
      <c r="M189" s="65">
        <v>0</v>
      </c>
      <c r="N189" s="61">
        <v>0</v>
      </c>
      <c r="O189" s="63">
        <v>0</v>
      </c>
      <c r="P189" s="63">
        <v>0</v>
      </c>
      <c r="Q189" s="74">
        <v>0</v>
      </c>
      <c r="R189" s="66">
        <v>0</v>
      </c>
      <c r="S189" s="66">
        <v>0</v>
      </c>
      <c r="T189" s="67">
        <v>0</v>
      </c>
      <c r="U189" s="68">
        <v>0</v>
      </c>
      <c r="V189" s="68">
        <v>0</v>
      </c>
      <c r="W189" s="69"/>
      <c r="X189" s="70">
        <v>84.497838691864672</v>
      </c>
      <c r="Y189" s="66">
        <v>15.50216130813533</v>
      </c>
      <c r="Z189" s="66">
        <v>0</v>
      </c>
      <c r="AA189" s="66">
        <v>68.995677383729344</v>
      </c>
      <c r="AB189" s="66">
        <v>29.996453746978489</v>
      </c>
      <c r="AC189" s="66">
        <v>1.0078688692921649</v>
      </c>
      <c r="AD189" s="66">
        <v>68.995677383729344</v>
      </c>
      <c r="AE189" s="70">
        <v>0</v>
      </c>
      <c r="AF189" s="66">
        <v>0</v>
      </c>
      <c r="AG189" s="66">
        <v>0</v>
      </c>
      <c r="AH189" s="66">
        <v>0</v>
      </c>
      <c r="AI189" s="66">
        <v>0</v>
      </c>
      <c r="AJ189" s="66">
        <v>0</v>
      </c>
      <c r="AK189" s="66">
        <v>0</v>
      </c>
      <c r="AL189" s="70">
        <v>0</v>
      </c>
      <c r="AM189" s="66">
        <v>0</v>
      </c>
      <c r="AN189" s="66">
        <v>0</v>
      </c>
      <c r="AO189" s="66">
        <v>0</v>
      </c>
      <c r="AP189" s="66">
        <v>0</v>
      </c>
      <c r="AQ189" s="71">
        <v>0</v>
      </c>
      <c r="AR189" s="71">
        <v>0</v>
      </c>
      <c r="AS189" s="111"/>
      <c r="AT189">
        <f t="shared" si="5"/>
        <v>0</v>
      </c>
      <c r="AU189" t="str">
        <f t="shared" si="4"/>
        <v>Saudi Arabia</v>
      </c>
    </row>
    <row r="190" spans="1:47">
      <c r="A190">
        <v>364</v>
      </c>
      <c r="B190" s="72" t="s">
        <v>450</v>
      </c>
      <c r="C190" s="73" t="s">
        <v>169</v>
      </c>
      <c r="D190" s="73">
        <v>2015</v>
      </c>
      <c r="E190" s="59">
        <v>48.358136330970879</v>
      </c>
      <c r="F190" s="60">
        <v>14.860363099718681</v>
      </c>
      <c r="G190" s="60">
        <v>21.670008371661989</v>
      </c>
      <c r="H190" s="61">
        <v>15.111492197648451</v>
      </c>
      <c r="I190" s="62">
        <v>0.65643185377120972</v>
      </c>
      <c r="J190" s="63">
        <v>-0.60303741693496704</v>
      </c>
      <c r="K190" s="64">
        <v>34.772605915112102</v>
      </c>
      <c r="L190" s="60">
        <v>8.3196591882326416</v>
      </c>
      <c r="M190" s="65">
        <v>31.454764100632701</v>
      </c>
      <c r="N190" s="61">
        <v>25.452970796022559</v>
      </c>
      <c r="O190" s="63">
        <v>0.68445974588394165</v>
      </c>
      <c r="P190" s="63">
        <v>-0.83381760120391846</v>
      </c>
      <c r="Q190" s="74">
        <v>65.845843983451743</v>
      </c>
      <c r="R190" s="66">
        <v>23.27975596434948</v>
      </c>
      <c r="S190" s="66">
        <v>9.074773412014622</v>
      </c>
      <c r="T190" s="67">
        <v>1.7996266401841581</v>
      </c>
      <c r="U190" s="68">
        <v>0.44164547324180603</v>
      </c>
      <c r="V190" s="68">
        <v>-0.12984937429428101</v>
      </c>
      <c r="W190" s="69"/>
      <c r="X190" s="70">
        <v>24.105245768713662</v>
      </c>
      <c r="Y190" s="66">
        <v>21.364654341579609</v>
      </c>
      <c r="Z190" s="66">
        <v>0</v>
      </c>
      <c r="AA190" s="66">
        <v>2.7405914271340519</v>
      </c>
      <c r="AB190" s="66">
        <v>23.713863984129151</v>
      </c>
      <c r="AC190" s="66">
        <v>19.163089492573619</v>
      </c>
      <c r="AD190" s="66">
        <v>5.4811828542681029</v>
      </c>
      <c r="AE190" s="70">
        <v>21.983124915544551</v>
      </c>
      <c r="AF190" s="66">
        <v>21.874477236004982</v>
      </c>
      <c r="AG190" s="66">
        <v>0</v>
      </c>
      <c r="AH190" s="66">
        <v>0.1086476795395747</v>
      </c>
      <c r="AI190" s="66">
        <v>21.774992331292211</v>
      </c>
      <c r="AJ190" s="66">
        <v>12.78031822474075</v>
      </c>
      <c r="AK190" s="66">
        <v>0.2172953590791494</v>
      </c>
      <c r="AL190" s="70">
        <v>24.00776818171537</v>
      </c>
      <c r="AM190" s="66">
        <v>18.081642036703951</v>
      </c>
      <c r="AN190" s="66">
        <v>0</v>
      </c>
      <c r="AO190" s="66">
        <v>5.9261261450114144</v>
      </c>
      <c r="AP190" s="66">
        <v>26.723005789166571</v>
      </c>
      <c r="AQ190" s="71">
        <v>27.27058590426234</v>
      </c>
      <c r="AR190" s="71">
        <v>11.852252290022831</v>
      </c>
      <c r="AS190" s="111"/>
      <c r="AT190">
        <f t="shared" si="5"/>
        <v>0.49999999999999994</v>
      </c>
      <c r="AU190" t="str">
        <f t="shared" si="4"/>
        <v>Senegal</v>
      </c>
    </row>
    <row r="191" spans="1:47">
      <c r="A191">
        <v>366</v>
      </c>
      <c r="B191" s="72" t="s">
        <v>451</v>
      </c>
      <c r="C191" s="73" t="s">
        <v>170</v>
      </c>
      <c r="D191" s="73">
        <v>2015</v>
      </c>
      <c r="E191" s="59">
        <v>94.642889392439713</v>
      </c>
      <c r="F191" s="60">
        <v>1.256295972066013</v>
      </c>
      <c r="G191" s="60">
        <v>4.0285882604942591</v>
      </c>
      <c r="H191" s="61">
        <v>7.2226375000000606E-2</v>
      </c>
      <c r="I191" s="62">
        <v>-0.19470493495464325</v>
      </c>
      <c r="J191" s="63">
        <v>1.9353610696271062E-4</v>
      </c>
      <c r="K191" s="64">
        <v>90.751299089764473</v>
      </c>
      <c r="L191" s="60">
        <v>1.200294136086596</v>
      </c>
      <c r="M191" s="65">
        <v>7.8859067741489284</v>
      </c>
      <c r="N191" s="61">
        <v>0.16250000000000139</v>
      </c>
      <c r="O191" s="63">
        <v>-0.42933580279350281</v>
      </c>
      <c r="P191" s="63">
        <v>9.1666663065552711E-3</v>
      </c>
      <c r="Q191" s="74">
        <v>97.756483873079944</v>
      </c>
      <c r="R191" s="66">
        <v>1.301102078014875</v>
      </c>
      <c r="S191" s="66">
        <v>0.94241404890517799</v>
      </c>
      <c r="T191" s="67">
        <v>0</v>
      </c>
      <c r="U191" s="68">
        <v>-8.9664952829480171E-3</v>
      </c>
      <c r="V191" s="68">
        <v>-7.222222164273262E-3</v>
      </c>
      <c r="W191" s="69"/>
      <c r="X191" s="70">
        <v>24.021902290885048</v>
      </c>
      <c r="Y191" s="66">
        <v>19.834462829078351</v>
      </c>
      <c r="Z191" s="66">
        <v>0</v>
      </c>
      <c r="AA191" s="66">
        <v>4.1874394618067026</v>
      </c>
      <c r="AB191" s="66">
        <v>1.3260863343469791</v>
      </c>
      <c r="AC191" s="66">
        <v>38.34283932380972</v>
      </c>
      <c r="AD191" s="66">
        <v>54.973963734283032</v>
      </c>
      <c r="AE191" s="70">
        <v>0</v>
      </c>
      <c r="AF191" s="66">
        <v>0</v>
      </c>
      <c r="AG191" s="66">
        <v>0</v>
      </c>
      <c r="AH191" s="66">
        <v>1.5079256411040589</v>
      </c>
      <c r="AI191" s="66">
        <v>0</v>
      </c>
      <c r="AJ191" s="66">
        <v>70.954798086193279</v>
      </c>
      <c r="AK191" s="66">
        <v>19.796501003571201</v>
      </c>
      <c r="AL191" s="70">
        <v>13.65100999922327</v>
      </c>
      <c r="AM191" s="66">
        <v>7.3199027792479132</v>
      </c>
      <c r="AN191" s="66">
        <v>0</v>
      </c>
      <c r="AO191" s="66">
        <v>6.3311072199753609</v>
      </c>
      <c r="AP191" s="66">
        <v>2.386981441904958</v>
      </c>
      <c r="AQ191" s="71">
        <v>12.252824116590871</v>
      </c>
      <c r="AR191" s="71">
        <v>83.116678314584121</v>
      </c>
      <c r="AS191" s="111"/>
      <c r="AT191">
        <f t="shared" si="5"/>
        <v>0.92382867857142847</v>
      </c>
      <c r="AU191" t="str">
        <f t="shared" si="4"/>
        <v>Serbia</v>
      </c>
    </row>
    <row r="192" spans="1:47">
      <c r="A192">
        <v>368</v>
      </c>
      <c r="B192" s="72" t="s">
        <v>452</v>
      </c>
      <c r="C192" s="73" t="s">
        <v>171</v>
      </c>
      <c r="D192" s="73">
        <v>2015</v>
      </c>
      <c r="E192" s="59">
        <v>100</v>
      </c>
      <c r="F192" s="60">
        <v>0</v>
      </c>
      <c r="G192" s="60">
        <v>0</v>
      </c>
      <c r="H192" s="61">
        <v>0</v>
      </c>
      <c r="I192" s="62">
        <v>0.39081934094429016</v>
      </c>
      <c r="J192" s="63">
        <v>-9.4017297029495239E-2</v>
      </c>
      <c r="K192" s="64">
        <v>0</v>
      </c>
      <c r="L192" s="60">
        <v>0</v>
      </c>
      <c r="M192" s="65">
        <v>0</v>
      </c>
      <c r="N192" s="61">
        <v>0</v>
      </c>
      <c r="O192" s="63">
        <v>0</v>
      </c>
      <c r="P192" s="63">
        <v>0</v>
      </c>
      <c r="Q192" s="74">
        <v>0</v>
      </c>
      <c r="R192" s="66">
        <v>0</v>
      </c>
      <c r="S192" s="66">
        <v>0</v>
      </c>
      <c r="T192" s="67">
        <v>0</v>
      </c>
      <c r="U192" s="68">
        <v>0</v>
      </c>
      <c r="V192" s="68">
        <v>0</v>
      </c>
      <c r="W192" s="69"/>
      <c r="X192" s="70">
        <v>0</v>
      </c>
      <c r="Y192" s="66">
        <v>0</v>
      </c>
      <c r="Z192" s="66">
        <v>0</v>
      </c>
      <c r="AA192" s="66">
        <v>0</v>
      </c>
      <c r="AB192" s="66">
        <v>0.93620585660556799</v>
      </c>
      <c r="AC192" s="66">
        <v>82.298617637013137</v>
      </c>
      <c r="AD192" s="66">
        <v>16.765176506381302</v>
      </c>
      <c r="AE192" s="70">
        <v>0</v>
      </c>
      <c r="AF192" s="66">
        <v>0</v>
      </c>
      <c r="AG192" s="66">
        <v>0</v>
      </c>
      <c r="AH192" s="66">
        <v>0</v>
      </c>
      <c r="AI192" s="66">
        <v>0</v>
      </c>
      <c r="AJ192" s="66">
        <v>0</v>
      </c>
      <c r="AK192" s="66">
        <v>0</v>
      </c>
      <c r="AL192" s="70">
        <v>0</v>
      </c>
      <c r="AM192" s="66">
        <v>0</v>
      </c>
      <c r="AN192" s="66">
        <v>0</v>
      </c>
      <c r="AO192" s="66">
        <v>0</v>
      </c>
      <c r="AP192" s="66">
        <v>0</v>
      </c>
      <c r="AQ192" s="71">
        <v>0</v>
      </c>
      <c r="AR192" s="71">
        <v>0</v>
      </c>
      <c r="AS192" s="111"/>
      <c r="AT192">
        <f t="shared" si="5"/>
        <v>1</v>
      </c>
      <c r="AU192" t="str">
        <f t="shared" si="4"/>
        <v>Seychelles</v>
      </c>
    </row>
    <row r="193" spans="1:47">
      <c r="A193">
        <v>370</v>
      </c>
      <c r="B193" s="72" t="s">
        <v>453</v>
      </c>
      <c r="C193" s="73" t="s">
        <v>172</v>
      </c>
      <c r="D193" s="73">
        <v>2015</v>
      </c>
      <c r="E193" s="59">
        <v>14.535885012615109</v>
      </c>
      <c r="F193" s="60">
        <v>34.22753448583456</v>
      </c>
      <c r="G193" s="60">
        <v>32.42336332089274</v>
      </c>
      <c r="H193" s="61">
        <v>18.813217180657599</v>
      </c>
      <c r="I193" s="62">
        <v>0.29847928881645203</v>
      </c>
      <c r="J193" s="63">
        <v>-0.49690735340118408</v>
      </c>
      <c r="K193" s="64">
        <v>8.360546058665328</v>
      </c>
      <c r="L193" s="60">
        <v>25.04884337476884</v>
      </c>
      <c r="M193" s="65">
        <v>39.45910704480616</v>
      </c>
      <c r="N193" s="61">
        <v>27.131503521759669</v>
      </c>
      <c r="O193" s="63">
        <v>0.27634933590888977</v>
      </c>
      <c r="P193" s="63">
        <v>-0.69704049825668335</v>
      </c>
      <c r="Q193" s="74">
        <v>23.821311553507311</v>
      </c>
      <c r="R193" s="66">
        <v>48.028892223263441</v>
      </c>
      <c r="S193" s="66">
        <v>21.84420612869425</v>
      </c>
      <c r="T193" s="67">
        <v>6.3055900945350132</v>
      </c>
      <c r="U193" s="68">
        <v>0.21359790861606598</v>
      </c>
      <c r="V193" s="68">
        <v>3.292151540517807E-2</v>
      </c>
      <c r="W193" s="69"/>
      <c r="X193" s="70">
        <v>0</v>
      </c>
      <c r="Y193" s="66">
        <v>0</v>
      </c>
      <c r="Z193" s="66">
        <v>0</v>
      </c>
      <c r="AA193" s="66">
        <v>0</v>
      </c>
      <c r="AB193" s="66">
        <v>13.10686654369186</v>
      </c>
      <c r="AC193" s="66">
        <v>1.373037710019855</v>
      </c>
      <c r="AD193" s="66">
        <v>5.5980758903402698E-2</v>
      </c>
      <c r="AE193" s="70">
        <v>0</v>
      </c>
      <c r="AF193" s="66">
        <v>0</v>
      </c>
      <c r="AG193" s="66">
        <v>0</v>
      </c>
      <c r="AH193" s="66">
        <v>0</v>
      </c>
      <c r="AI193" s="66">
        <v>8.2690562943942219</v>
      </c>
      <c r="AJ193" s="66">
        <v>9.1489764271104806E-2</v>
      </c>
      <c r="AK193" s="66">
        <v>0</v>
      </c>
      <c r="AL193" s="70">
        <v>0</v>
      </c>
      <c r="AM193" s="66">
        <v>0</v>
      </c>
      <c r="AN193" s="66">
        <v>0</v>
      </c>
      <c r="AO193" s="66">
        <v>0</v>
      </c>
      <c r="AP193" s="66">
        <v>20.024345064459801</v>
      </c>
      <c r="AQ193" s="71">
        <v>3.6410832888119198</v>
      </c>
      <c r="AR193" s="71">
        <v>0.15588320023558691</v>
      </c>
      <c r="AS193" s="111"/>
      <c r="AT193">
        <f t="shared" si="5"/>
        <v>1</v>
      </c>
      <c r="AU193" t="str">
        <f t="shared" si="4"/>
        <v>Sierra Leone</v>
      </c>
    </row>
    <row r="194" spans="1:47">
      <c r="A194">
        <v>372</v>
      </c>
      <c r="B194" s="72" t="s">
        <v>454</v>
      </c>
      <c r="C194" s="73" t="s">
        <v>173</v>
      </c>
      <c r="D194" s="73">
        <v>2015</v>
      </c>
      <c r="E194" s="59">
        <v>100</v>
      </c>
      <c r="F194" s="60">
        <v>0</v>
      </c>
      <c r="G194" s="60">
        <v>0</v>
      </c>
      <c r="H194" s="61">
        <v>0</v>
      </c>
      <c r="I194" s="62">
        <v>0</v>
      </c>
      <c r="J194" s="63">
        <v>0</v>
      </c>
      <c r="K194" s="64">
        <v>0</v>
      </c>
      <c r="L194" s="60">
        <v>0</v>
      </c>
      <c r="M194" s="65">
        <v>0</v>
      </c>
      <c r="N194" s="61">
        <v>0</v>
      </c>
      <c r="O194" s="63">
        <v>0</v>
      </c>
      <c r="P194" s="63">
        <v>0</v>
      </c>
      <c r="Q194" s="74">
        <v>100</v>
      </c>
      <c r="R194" s="66">
        <v>0</v>
      </c>
      <c r="S194" s="66">
        <v>0</v>
      </c>
      <c r="T194" s="67">
        <v>0</v>
      </c>
      <c r="U194" s="68">
        <v>0</v>
      </c>
      <c r="V194" s="68">
        <v>0</v>
      </c>
      <c r="W194" s="69"/>
      <c r="X194" s="70">
        <v>100</v>
      </c>
      <c r="Y194" s="66">
        <v>0</v>
      </c>
      <c r="Z194" s="66">
        <v>0</v>
      </c>
      <c r="AA194" s="66">
        <v>100</v>
      </c>
      <c r="AB194" s="66">
        <v>0</v>
      </c>
      <c r="AC194" s="66">
        <v>0</v>
      </c>
      <c r="AD194" s="66">
        <v>100</v>
      </c>
      <c r="AE194" s="70">
        <v>0</v>
      </c>
      <c r="AF194" s="66">
        <v>0</v>
      </c>
      <c r="AG194" s="66">
        <v>0</v>
      </c>
      <c r="AH194" s="66">
        <v>0</v>
      </c>
      <c r="AI194" s="66">
        <v>0</v>
      </c>
      <c r="AJ194" s="66">
        <v>0</v>
      </c>
      <c r="AK194" s="66">
        <v>0</v>
      </c>
      <c r="AL194" s="70">
        <v>100</v>
      </c>
      <c r="AM194" s="66">
        <v>0</v>
      </c>
      <c r="AN194" s="66">
        <v>0</v>
      </c>
      <c r="AO194" s="66">
        <v>100</v>
      </c>
      <c r="AP194" s="66">
        <v>0</v>
      </c>
      <c r="AQ194" s="71">
        <v>0</v>
      </c>
      <c r="AR194" s="71">
        <v>100</v>
      </c>
      <c r="AS194" s="111"/>
      <c r="AT194">
        <f t="shared" si="5"/>
        <v>0</v>
      </c>
      <c r="AU194" t="str">
        <f t="shared" si="4"/>
        <v>Singapore</v>
      </c>
    </row>
    <row r="195" spans="1:47">
      <c r="A195">
        <v>374</v>
      </c>
      <c r="B195" s="72" t="s">
        <v>455</v>
      </c>
      <c r="C195" s="73" t="s">
        <v>174</v>
      </c>
      <c r="D195" s="73">
        <v>2015</v>
      </c>
      <c r="E195" s="59">
        <v>98.720010722423268</v>
      </c>
      <c r="F195" s="60">
        <v>0</v>
      </c>
      <c r="G195" s="60">
        <v>1.0923468703927079</v>
      </c>
      <c r="H195" s="61">
        <v>0.18764240718402361</v>
      </c>
      <c r="I195" s="62">
        <v>0</v>
      </c>
      <c r="J195" s="63">
        <v>0</v>
      </c>
      <c r="K195" s="64">
        <v>0</v>
      </c>
      <c r="L195" s="60">
        <v>0</v>
      </c>
      <c r="M195" s="65">
        <v>0</v>
      </c>
      <c r="N195" s="61">
        <v>0</v>
      </c>
      <c r="O195" s="63">
        <v>0</v>
      </c>
      <c r="P195" s="63">
        <v>0</v>
      </c>
      <c r="Q195" s="74">
        <v>0</v>
      </c>
      <c r="R195" s="66">
        <v>0</v>
      </c>
      <c r="S195" s="66">
        <v>0</v>
      </c>
      <c r="T195" s="67">
        <v>0</v>
      </c>
      <c r="U195" s="68">
        <v>0</v>
      </c>
      <c r="V195" s="68">
        <v>0</v>
      </c>
      <c r="W195" s="69"/>
      <c r="X195" s="70">
        <v>0</v>
      </c>
      <c r="Y195" s="66">
        <v>0</v>
      </c>
      <c r="Z195" s="66">
        <v>0</v>
      </c>
      <c r="AA195" s="66">
        <v>0</v>
      </c>
      <c r="AB195" s="66">
        <v>0</v>
      </c>
      <c r="AC195" s="66">
        <v>88.748157083500871</v>
      </c>
      <c r="AD195" s="66">
        <v>9.9718536389223971</v>
      </c>
      <c r="AE195" s="70">
        <v>0</v>
      </c>
      <c r="AF195" s="66">
        <v>0</v>
      </c>
      <c r="AG195" s="66">
        <v>0</v>
      </c>
      <c r="AH195" s="66">
        <v>0</v>
      </c>
      <c r="AI195" s="66">
        <v>0</v>
      </c>
      <c r="AJ195" s="66">
        <v>0</v>
      </c>
      <c r="AK195" s="66">
        <v>0</v>
      </c>
      <c r="AL195" s="70">
        <v>0</v>
      </c>
      <c r="AM195" s="66">
        <v>0</v>
      </c>
      <c r="AN195" s="66">
        <v>0</v>
      </c>
      <c r="AO195" s="66">
        <v>0</v>
      </c>
      <c r="AP195" s="66">
        <v>0</v>
      </c>
      <c r="AQ195" s="71">
        <v>0</v>
      </c>
      <c r="AR195" s="71">
        <v>0</v>
      </c>
      <c r="AS195" s="111"/>
      <c r="AT195">
        <f t="shared" si="5"/>
        <v>1</v>
      </c>
      <c r="AU195" t="str">
        <f t="shared" si="4"/>
        <v>Sint Maarten (Dutch part)</v>
      </c>
    </row>
    <row r="196" spans="1:47">
      <c r="A196">
        <v>376</v>
      </c>
      <c r="B196" s="72" t="s">
        <v>456</v>
      </c>
      <c r="C196" s="73" t="s">
        <v>175</v>
      </c>
      <c r="D196" s="73">
        <v>2015</v>
      </c>
      <c r="E196" s="59">
        <v>98.92817620268292</v>
      </c>
      <c r="F196" s="60">
        <v>1.0103011033240701</v>
      </c>
      <c r="G196" s="60">
        <v>6.1522693993006299E-2</v>
      </c>
      <c r="H196" s="61">
        <v>0</v>
      </c>
      <c r="I196" s="62">
        <v>5.605931393802166E-3</v>
      </c>
      <c r="J196" s="63">
        <v>0</v>
      </c>
      <c r="K196" s="64">
        <v>98.372334632111219</v>
      </c>
      <c r="L196" s="60">
        <v>1.5782978887156729</v>
      </c>
      <c r="M196" s="65">
        <v>4.9367479173099603E-2</v>
      </c>
      <c r="N196" s="61">
        <v>0</v>
      </c>
      <c r="O196" s="63">
        <v>1.3118741102516651E-2</v>
      </c>
      <c r="P196" s="63">
        <v>0</v>
      </c>
      <c r="Q196" s="74">
        <v>99.409391183795421</v>
      </c>
      <c r="R196" s="66">
        <v>0.51856285122994061</v>
      </c>
      <c r="S196" s="66">
        <v>7.2045964974634599E-2</v>
      </c>
      <c r="T196" s="67">
        <v>0</v>
      </c>
      <c r="U196" s="68">
        <v>2.9982661362737417E-3</v>
      </c>
      <c r="V196" s="68">
        <v>0</v>
      </c>
      <c r="W196" s="69"/>
      <c r="X196" s="70">
        <v>81.697945090493548</v>
      </c>
      <c r="Y196" s="66">
        <v>15.17275087883923</v>
      </c>
      <c r="Z196" s="66">
        <v>0</v>
      </c>
      <c r="AA196" s="66">
        <v>66.525194211654323</v>
      </c>
      <c r="AB196" s="66">
        <v>3.990184661960317</v>
      </c>
      <c r="AC196" s="66">
        <v>26.355317095718139</v>
      </c>
      <c r="AD196" s="66">
        <v>68.582674445004457</v>
      </c>
      <c r="AE196" s="70">
        <v>74.70198833172546</v>
      </c>
      <c r="AF196" s="66">
        <v>22.041676873853639</v>
      </c>
      <c r="AG196" s="66">
        <v>0</v>
      </c>
      <c r="AH196" s="66">
        <v>52.660311457871821</v>
      </c>
      <c r="AI196" s="66">
        <v>5.4826679194563237</v>
      </c>
      <c r="AJ196" s="66">
        <v>38.600685828250953</v>
      </c>
      <c r="AK196" s="66">
        <v>54.288980884403941</v>
      </c>
      <c r="AL196" s="70">
        <v>87.81559248966667</v>
      </c>
      <c r="AM196" s="66">
        <v>9.1611882538456229</v>
      </c>
      <c r="AN196" s="66">
        <v>0</v>
      </c>
      <c r="AO196" s="66">
        <v>78.654404235821048</v>
      </c>
      <c r="AP196" s="66">
        <v>2.6839533607355661</v>
      </c>
      <c r="AQ196" s="71">
        <v>15.638423146955679</v>
      </c>
      <c r="AR196" s="71">
        <v>81.087014676104175</v>
      </c>
      <c r="AS196" s="111"/>
      <c r="AT196">
        <f t="shared" si="5"/>
        <v>3.0000000000000002E-2</v>
      </c>
      <c r="AU196" t="str">
        <f t="shared" si="4"/>
        <v>Slovakia</v>
      </c>
    </row>
    <row r="197" spans="1:47">
      <c r="A197">
        <v>378</v>
      </c>
      <c r="B197" s="72" t="s">
        <v>457</v>
      </c>
      <c r="C197" s="73" t="s">
        <v>176</v>
      </c>
      <c r="D197" s="73">
        <v>2015</v>
      </c>
      <c r="E197" s="59">
        <v>99.107270791458532</v>
      </c>
      <c r="F197" s="60">
        <v>0.89272920854146343</v>
      </c>
      <c r="G197" s="60">
        <v>0</v>
      </c>
      <c r="H197" s="61">
        <v>0</v>
      </c>
      <c r="I197" s="62">
        <v>-3.6551307857735083E-5</v>
      </c>
      <c r="J197" s="63">
        <v>0</v>
      </c>
      <c r="K197" s="64">
        <v>99.082568807339456</v>
      </c>
      <c r="L197" s="60">
        <v>0.91743119266055029</v>
      </c>
      <c r="M197" s="65">
        <v>0</v>
      </c>
      <c r="N197" s="61">
        <v>0</v>
      </c>
      <c r="O197" s="63">
        <v>0</v>
      </c>
      <c r="P197" s="63">
        <v>0</v>
      </c>
      <c r="Q197" s="74">
        <v>99.132321041214752</v>
      </c>
      <c r="R197" s="66">
        <v>0.86767895878524948</v>
      </c>
      <c r="S197" s="66">
        <v>0</v>
      </c>
      <c r="T197" s="67">
        <v>0</v>
      </c>
      <c r="U197" s="68">
        <v>0</v>
      </c>
      <c r="V197" s="68">
        <v>0</v>
      </c>
      <c r="W197" s="69"/>
      <c r="X197" s="70">
        <v>75.724271611823667</v>
      </c>
      <c r="Y197" s="66">
        <v>23.382999179634862</v>
      </c>
      <c r="Z197" s="66">
        <v>0</v>
      </c>
      <c r="AA197" s="66">
        <v>52.341272432188823</v>
      </c>
      <c r="AB197" s="66">
        <v>15.743026601589809</v>
      </c>
      <c r="AC197" s="66">
        <v>31.022971757679912</v>
      </c>
      <c r="AD197" s="66">
        <v>52.341272432188823</v>
      </c>
      <c r="AE197" s="70">
        <v>0</v>
      </c>
      <c r="AF197" s="66">
        <v>0</v>
      </c>
      <c r="AG197" s="66">
        <v>0</v>
      </c>
      <c r="AH197" s="66">
        <v>0</v>
      </c>
      <c r="AI197" s="66">
        <v>0</v>
      </c>
      <c r="AJ197" s="66">
        <v>0</v>
      </c>
      <c r="AK197" s="66">
        <v>0</v>
      </c>
      <c r="AL197" s="70">
        <v>0</v>
      </c>
      <c r="AM197" s="66">
        <v>0</v>
      </c>
      <c r="AN197" s="66">
        <v>0</v>
      </c>
      <c r="AO197" s="66">
        <v>0</v>
      </c>
      <c r="AP197" s="66">
        <v>0</v>
      </c>
      <c r="AQ197" s="71">
        <v>0</v>
      </c>
      <c r="AR197" s="71">
        <v>0</v>
      </c>
      <c r="AS197" s="111"/>
      <c r="AT197">
        <f t="shared" si="5"/>
        <v>0</v>
      </c>
      <c r="AU197" t="str">
        <f t="shared" si="4"/>
        <v>Slovenia</v>
      </c>
    </row>
    <row r="198" spans="1:47">
      <c r="A198">
        <v>380</v>
      </c>
      <c r="B198" s="72" t="s">
        <v>458</v>
      </c>
      <c r="C198" s="73" t="s">
        <v>177</v>
      </c>
      <c r="D198" s="73">
        <v>2015</v>
      </c>
      <c r="E198" s="59">
        <v>31.267039020385699</v>
      </c>
      <c r="F198" s="60">
        <v>5.108005868484077</v>
      </c>
      <c r="G198" s="60">
        <v>22.570862465530499</v>
      </c>
      <c r="H198" s="61">
        <v>41.054092645599709</v>
      </c>
      <c r="I198" s="62">
        <v>0.693683922290802</v>
      </c>
      <c r="J198" s="63">
        <v>-1.4653921127319336</v>
      </c>
      <c r="K198" s="64">
        <v>18.37565312309404</v>
      </c>
      <c r="L198" s="60">
        <v>2.2930673173848262</v>
      </c>
      <c r="M198" s="65">
        <v>29.059574957874251</v>
      </c>
      <c r="N198" s="61">
        <v>50.271704601646888</v>
      </c>
      <c r="O198" s="63">
        <v>0.35536274313926697</v>
      </c>
      <c r="P198" s="63">
        <v>-1.5322911739349365</v>
      </c>
      <c r="Q198" s="74">
        <v>76.109478629348985</v>
      </c>
      <c r="R198" s="66">
        <v>14.89971585112683</v>
      </c>
      <c r="S198" s="66">
        <v>0</v>
      </c>
      <c r="T198" s="67">
        <v>8.9908055195241978</v>
      </c>
      <c r="U198" s="68">
        <v>0.90886574983596802</v>
      </c>
      <c r="V198" s="68">
        <v>2.4803284555673599E-2</v>
      </c>
      <c r="W198" s="69"/>
      <c r="X198" s="70">
        <v>0</v>
      </c>
      <c r="Y198" s="66">
        <v>0</v>
      </c>
      <c r="Z198" s="66">
        <v>0</v>
      </c>
      <c r="AA198" s="66">
        <v>0</v>
      </c>
      <c r="AB198" s="66">
        <v>18.569680367666521</v>
      </c>
      <c r="AC198" s="66">
        <v>12.69735865271919</v>
      </c>
      <c r="AD198" s="66">
        <v>0</v>
      </c>
      <c r="AE198" s="70">
        <v>0</v>
      </c>
      <c r="AF198" s="66">
        <v>0</v>
      </c>
      <c r="AG198" s="66">
        <v>0</v>
      </c>
      <c r="AH198" s="66">
        <v>0</v>
      </c>
      <c r="AI198" s="66">
        <v>15.86968714780348</v>
      </c>
      <c r="AJ198" s="66">
        <v>2.505965975290561</v>
      </c>
      <c r="AK198" s="66">
        <v>0</v>
      </c>
      <c r="AL198" s="70">
        <v>0</v>
      </c>
      <c r="AM198" s="66">
        <v>0</v>
      </c>
      <c r="AN198" s="66">
        <v>0</v>
      </c>
      <c r="AO198" s="66">
        <v>0</v>
      </c>
      <c r="AP198" s="66">
        <v>28.984909015848189</v>
      </c>
      <c r="AQ198" s="71">
        <v>47.124569613500803</v>
      </c>
      <c r="AR198" s="71">
        <v>0</v>
      </c>
      <c r="AS198" s="111"/>
      <c r="AT198" t="e">
        <f t="shared" si="5"/>
        <v>#DIV/0!</v>
      </c>
      <c r="AU198" t="str">
        <f t="shared" si="4"/>
        <v>Solomon Islands</v>
      </c>
    </row>
    <row r="199" spans="1:47">
      <c r="A199">
        <v>382</v>
      </c>
      <c r="B199" s="72" t="s">
        <v>459</v>
      </c>
      <c r="C199" s="73" t="s">
        <v>178</v>
      </c>
      <c r="D199" s="73">
        <v>2015</v>
      </c>
      <c r="E199" s="59">
        <v>16.191415791032309</v>
      </c>
      <c r="F199" s="60">
        <v>10.52026823515663</v>
      </c>
      <c r="G199" s="60">
        <v>34.189608817051479</v>
      </c>
      <c r="H199" s="61">
        <v>39.098707156759581</v>
      </c>
      <c r="I199" s="62">
        <v>-0.41525816917419434</v>
      </c>
      <c r="J199" s="63">
        <v>-1.2282713651657104</v>
      </c>
      <c r="K199" s="64">
        <v>8.163627970501695</v>
      </c>
      <c r="L199" s="60">
        <v>6.90362307492728</v>
      </c>
      <c r="M199" s="65">
        <v>24.58226906882032</v>
      </c>
      <c r="N199" s="61">
        <v>60.350479885750701</v>
      </c>
      <c r="O199" s="63">
        <v>-3.7298049777746201E-2</v>
      </c>
      <c r="P199" s="63">
        <v>-1.3322725296020508</v>
      </c>
      <c r="Q199" s="74">
        <v>28.46093479088707</v>
      </c>
      <c r="R199" s="66">
        <v>16.047880262430379</v>
      </c>
      <c r="S199" s="66">
        <v>48.873285094284029</v>
      </c>
      <c r="T199" s="67">
        <v>6.6178998523985229</v>
      </c>
      <c r="U199" s="68">
        <v>-1.4306957721710205</v>
      </c>
      <c r="V199" s="68">
        <v>-0.34023946523666382</v>
      </c>
      <c r="W199" s="69"/>
      <c r="X199" s="70">
        <v>14.085234944235459</v>
      </c>
      <c r="Y199" s="66">
        <v>13.96211403524555</v>
      </c>
      <c r="Z199" s="66">
        <v>0</v>
      </c>
      <c r="AA199" s="66">
        <v>0.1231209089899117</v>
      </c>
      <c r="AB199" s="66">
        <v>15.89222341049315</v>
      </c>
      <c r="AC199" s="66">
        <v>5.2950562559343002E-2</v>
      </c>
      <c r="AD199" s="66">
        <v>0.24624181797982331</v>
      </c>
      <c r="AE199" s="70">
        <v>7.3179131010342617</v>
      </c>
      <c r="AF199" s="66">
        <v>7.2004670711187622</v>
      </c>
      <c r="AG199" s="66">
        <v>0</v>
      </c>
      <c r="AH199" s="66">
        <v>0.1174460299155</v>
      </c>
      <c r="AI199" s="66">
        <v>7.8504385573936943</v>
      </c>
      <c r="AJ199" s="66">
        <v>7.8297353277000201E-2</v>
      </c>
      <c r="AK199" s="66">
        <v>0.23489205983100001</v>
      </c>
      <c r="AL199" s="70">
        <v>24.324010261943538</v>
      </c>
      <c r="AM199" s="66">
        <v>24.207465034469539</v>
      </c>
      <c r="AN199" s="66">
        <v>0</v>
      </c>
      <c r="AO199" s="66">
        <v>0.11654522747399999</v>
      </c>
      <c r="AP199" s="66">
        <v>28.227844335939071</v>
      </c>
      <c r="AQ199" s="71">
        <v>0</v>
      </c>
      <c r="AR199" s="71">
        <v>0.23309045494799999</v>
      </c>
      <c r="AS199" s="111"/>
      <c r="AT199">
        <f t="shared" si="5"/>
        <v>0.49999999999999983</v>
      </c>
      <c r="AU199" t="str">
        <f t="shared" si="4"/>
        <v>Somalia</v>
      </c>
    </row>
    <row r="200" spans="1:47">
      <c r="A200">
        <v>384</v>
      </c>
      <c r="B200" s="72" t="s">
        <v>460</v>
      </c>
      <c r="C200" s="73" t="s">
        <v>179</v>
      </c>
      <c r="D200" s="73">
        <v>2015</v>
      </c>
      <c r="E200" s="59">
        <v>73.128824374600242</v>
      </c>
      <c r="F200" s="60">
        <v>16.471702673214502</v>
      </c>
      <c r="G200" s="60">
        <v>8.1470270620866998</v>
      </c>
      <c r="H200" s="61">
        <v>2.2524458900985538</v>
      </c>
      <c r="I200" s="62">
        <v>0.91612029075622559</v>
      </c>
      <c r="J200" s="63">
        <v>-0.6887548565864563</v>
      </c>
      <c r="K200" s="64">
        <v>68.672074703925958</v>
      </c>
      <c r="L200" s="60">
        <v>9.8115981189046479</v>
      </c>
      <c r="M200" s="65">
        <v>16.597415371885749</v>
      </c>
      <c r="N200" s="61">
        <v>4.918911805283642</v>
      </c>
      <c r="O200" s="63">
        <v>1.6064945459365845</v>
      </c>
      <c r="P200" s="63">
        <v>-1.3729965686798096</v>
      </c>
      <c r="Q200" s="74">
        <v>75.549668677281744</v>
      </c>
      <c r="R200" s="66">
        <v>20.089378638201961</v>
      </c>
      <c r="S200" s="66">
        <v>3.5568939141936649</v>
      </c>
      <c r="T200" s="67">
        <v>0.80405877032262651</v>
      </c>
      <c r="U200" s="68">
        <v>0.32924136519432068</v>
      </c>
      <c r="V200" s="68">
        <v>-0.13213120400905609</v>
      </c>
      <c r="W200" s="69"/>
      <c r="X200" s="70">
        <v>0</v>
      </c>
      <c r="Y200" s="66">
        <v>0</v>
      </c>
      <c r="Z200" s="66">
        <v>0</v>
      </c>
      <c r="AA200" s="66">
        <v>0</v>
      </c>
      <c r="AB200" s="66">
        <v>23.648894959635591</v>
      </c>
      <c r="AC200" s="66">
        <v>2.7189880721740218</v>
      </c>
      <c r="AD200" s="66">
        <v>46.760941342790638</v>
      </c>
      <c r="AE200" s="70">
        <v>0</v>
      </c>
      <c r="AF200" s="66">
        <v>0</v>
      </c>
      <c r="AG200" s="66">
        <v>0</v>
      </c>
      <c r="AH200" s="66">
        <v>0</v>
      </c>
      <c r="AI200" s="66">
        <v>60.094332560095793</v>
      </c>
      <c r="AJ200" s="66">
        <v>4.6101049776840739</v>
      </c>
      <c r="AK200" s="66">
        <v>3.9676371661460981</v>
      </c>
      <c r="AL200" s="70">
        <v>0</v>
      </c>
      <c r="AM200" s="66">
        <v>0</v>
      </c>
      <c r="AN200" s="66">
        <v>0</v>
      </c>
      <c r="AO200" s="66">
        <v>0</v>
      </c>
      <c r="AP200" s="66">
        <v>5.852360256290825</v>
      </c>
      <c r="AQ200" s="71">
        <v>1.800343757392908</v>
      </c>
      <c r="AR200" s="71">
        <v>67.896964663598013</v>
      </c>
      <c r="AS200" s="111"/>
      <c r="AT200">
        <f t="shared" si="5"/>
        <v>1</v>
      </c>
      <c r="AU200" t="str">
        <f t="shared" ref="AU200:AU252" si="6">C200</f>
        <v>South Africa</v>
      </c>
    </row>
    <row r="201" spans="1:47">
      <c r="A201">
        <v>386</v>
      </c>
      <c r="B201" s="72" t="s">
        <v>461</v>
      </c>
      <c r="C201" s="73" t="s">
        <v>180</v>
      </c>
      <c r="D201" s="73">
        <v>2015</v>
      </c>
      <c r="E201" s="59">
        <v>10.35011305687943</v>
      </c>
      <c r="F201" s="60">
        <v>9.127487589987398</v>
      </c>
      <c r="G201" s="60">
        <v>19.622526781704568</v>
      </c>
      <c r="H201" s="61">
        <v>60.89987257142861</v>
      </c>
      <c r="I201" s="62">
        <v>0</v>
      </c>
      <c r="J201" s="63">
        <v>0</v>
      </c>
      <c r="K201" s="64">
        <v>6.3651708551945001</v>
      </c>
      <c r="L201" s="60">
        <v>6.7569710724940171</v>
      </c>
      <c r="M201" s="65">
        <v>16.91714378659708</v>
      </c>
      <c r="N201" s="61">
        <v>69.960714285714403</v>
      </c>
      <c r="O201" s="63">
        <v>0</v>
      </c>
      <c r="P201" s="63">
        <v>0</v>
      </c>
      <c r="Q201" s="74">
        <v>27.55716299348915</v>
      </c>
      <c r="R201" s="66">
        <v>19.363419261673879</v>
      </c>
      <c r="S201" s="66">
        <v>31.304417744837341</v>
      </c>
      <c r="T201" s="67">
        <v>21.77499999999964</v>
      </c>
      <c r="U201" s="68">
        <v>0</v>
      </c>
      <c r="V201" s="68">
        <v>0</v>
      </c>
      <c r="W201" s="69"/>
      <c r="X201" s="70">
        <v>0</v>
      </c>
      <c r="Y201" s="66">
        <v>0</v>
      </c>
      <c r="Z201" s="66">
        <v>0</v>
      </c>
      <c r="AA201" s="66">
        <v>0</v>
      </c>
      <c r="AB201" s="66">
        <v>10.241170736500999</v>
      </c>
      <c r="AC201" s="66">
        <v>7.9937371938208601E-2</v>
      </c>
      <c r="AD201" s="66">
        <v>2.9004948440218298E-2</v>
      </c>
      <c r="AE201" s="70">
        <v>0</v>
      </c>
      <c r="AF201" s="66">
        <v>0</v>
      </c>
      <c r="AG201" s="66">
        <v>0</v>
      </c>
      <c r="AH201" s="66">
        <v>0</v>
      </c>
      <c r="AI201" s="66">
        <v>6.3447906810001466</v>
      </c>
      <c r="AJ201" s="66">
        <v>0</v>
      </c>
      <c r="AK201" s="66">
        <v>2.0380174194354599E-2</v>
      </c>
      <c r="AL201" s="70">
        <v>0</v>
      </c>
      <c r="AM201" s="66">
        <v>0</v>
      </c>
      <c r="AN201" s="66">
        <v>0</v>
      </c>
      <c r="AO201" s="66">
        <v>0</v>
      </c>
      <c r="AP201" s="66">
        <v>27.023378219009739</v>
      </c>
      <c r="AQ201" s="71">
        <v>0.46985202090848871</v>
      </c>
      <c r="AR201" s="71">
        <v>6.3932753570918599E-2</v>
      </c>
      <c r="AS201" s="111"/>
      <c r="AT201">
        <f t="shared" si="5"/>
        <v>1</v>
      </c>
      <c r="AU201" t="str">
        <f t="shared" si="6"/>
        <v>South Sudan</v>
      </c>
    </row>
    <row r="202" spans="1:47">
      <c r="A202">
        <v>388</v>
      </c>
      <c r="B202" s="72" t="s">
        <v>462</v>
      </c>
      <c r="C202" s="73" t="s">
        <v>181</v>
      </c>
      <c r="D202" s="73">
        <v>2015</v>
      </c>
      <c r="E202" s="59">
        <v>99.904360213098954</v>
      </c>
      <c r="F202" s="60">
        <v>7.9642645504107198E-2</v>
      </c>
      <c r="G202" s="60">
        <v>1.5997141396923101E-2</v>
      </c>
      <c r="H202" s="61">
        <v>0</v>
      </c>
      <c r="I202" s="62">
        <v>1.6626001161057502E-4</v>
      </c>
      <c r="J202" s="63">
        <v>0</v>
      </c>
      <c r="K202" s="64">
        <v>100</v>
      </c>
      <c r="L202" s="60">
        <v>0</v>
      </c>
      <c r="M202" s="65">
        <v>0</v>
      </c>
      <c r="N202" s="61">
        <v>0</v>
      </c>
      <c r="O202" s="63">
        <v>8.631459204480052E-4</v>
      </c>
      <c r="P202" s="63">
        <v>0</v>
      </c>
      <c r="Q202" s="74">
        <v>99.879817807586122</v>
      </c>
      <c r="R202" s="66">
        <v>0.10007997776311239</v>
      </c>
      <c r="S202" s="66">
        <v>2.01022146507626E-2</v>
      </c>
      <c r="T202" s="67">
        <v>0</v>
      </c>
      <c r="U202" s="68">
        <v>2.9782764613628387E-4</v>
      </c>
      <c r="V202" s="68">
        <v>0</v>
      </c>
      <c r="W202" s="69"/>
      <c r="X202" s="70">
        <v>97.450637575663166</v>
      </c>
      <c r="Y202" s="66">
        <v>0</v>
      </c>
      <c r="Z202" s="66">
        <v>0</v>
      </c>
      <c r="AA202" s="66">
        <v>97.450637575663166</v>
      </c>
      <c r="AB202" s="66">
        <v>0</v>
      </c>
      <c r="AC202" s="66">
        <v>0</v>
      </c>
      <c r="AD202" s="66">
        <v>99.904360213098983</v>
      </c>
      <c r="AE202" s="70">
        <v>97.543928380901548</v>
      </c>
      <c r="AF202" s="66">
        <v>0</v>
      </c>
      <c r="AG202" s="66">
        <v>0</v>
      </c>
      <c r="AH202" s="66">
        <v>97.543928380901548</v>
      </c>
      <c r="AI202" s="66">
        <v>0</v>
      </c>
      <c r="AJ202" s="66">
        <v>0</v>
      </c>
      <c r="AK202" s="66">
        <v>100</v>
      </c>
      <c r="AL202" s="70">
        <v>97.426697949206755</v>
      </c>
      <c r="AM202" s="66">
        <v>0</v>
      </c>
      <c r="AN202" s="66">
        <v>0</v>
      </c>
      <c r="AO202" s="66">
        <v>97.426697949206755</v>
      </c>
      <c r="AP202" s="66">
        <v>0</v>
      </c>
      <c r="AQ202" s="71">
        <v>0</v>
      </c>
      <c r="AR202" s="71">
        <v>99.879817807586122</v>
      </c>
      <c r="AS202" s="111"/>
      <c r="AT202">
        <f t="shared" ref="AT202:AT252" si="7">(AD202-AA202)/AD202</f>
        <v>2.4560716190984593E-2</v>
      </c>
      <c r="AU202" t="str">
        <f t="shared" si="6"/>
        <v>Spain</v>
      </c>
    </row>
    <row r="203" spans="1:47">
      <c r="A203">
        <v>390</v>
      </c>
      <c r="B203" s="72" t="s">
        <v>463</v>
      </c>
      <c r="C203" s="73" t="s">
        <v>182</v>
      </c>
      <c r="D203" s="73">
        <v>2015</v>
      </c>
      <c r="E203" s="59">
        <v>94.206673691587113</v>
      </c>
      <c r="F203" s="60">
        <v>2.7328731958051891</v>
      </c>
      <c r="G203" s="60">
        <v>0.41226857412602191</v>
      </c>
      <c r="H203" s="61">
        <v>2.6481845384816669</v>
      </c>
      <c r="I203" s="62">
        <v>0.58856809139251709</v>
      </c>
      <c r="J203" s="63">
        <v>0.1765456348657608</v>
      </c>
      <c r="K203" s="64">
        <v>95.265042604977594</v>
      </c>
      <c r="L203" s="60">
        <v>1.8286268153329459</v>
      </c>
      <c r="M203" s="65">
        <v>0</v>
      </c>
      <c r="N203" s="61">
        <v>2.9063305796894658</v>
      </c>
      <c r="O203" s="63">
        <v>0.71409547328948975</v>
      </c>
      <c r="P203" s="63">
        <v>0.1937553733587265</v>
      </c>
      <c r="Q203" s="74">
        <v>89.499249875676682</v>
      </c>
      <c r="R203" s="66">
        <v>6.7547892715992486</v>
      </c>
      <c r="S203" s="66">
        <v>2.245960852724068</v>
      </c>
      <c r="T203" s="67">
        <v>1.5</v>
      </c>
      <c r="U203" s="68">
        <v>3.1658578664064407E-2</v>
      </c>
      <c r="V203" s="68">
        <v>0.10000000149011612</v>
      </c>
      <c r="W203" s="69"/>
      <c r="X203" s="70">
        <v>0</v>
      </c>
      <c r="Y203" s="66">
        <v>0</v>
      </c>
      <c r="Z203" s="66">
        <v>0</v>
      </c>
      <c r="AA203" s="66">
        <v>0</v>
      </c>
      <c r="AB203" s="66">
        <v>86.618338275065071</v>
      </c>
      <c r="AC203" s="66">
        <v>5.461287662777857</v>
      </c>
      <c r="AD203" s="66">
        <v>2.1270477537442032</v>
      </c>
      <c r="AE203" s="70">
        <v>0</v>
      </c>
      <c r="AF203" s="66">
        <v>0</v>
      </c>
      <c r="AG203" s="66">
        <v>0</v>
      </c>
      <c r="AH203" s="66">
        <v>0</v>
      </c>
      <c r="AI203" s="66">
        <v>90.359210784337307</v>
      </c>
      <c r="AJ203" s="66">
        <v>4.4152486385762559</v>
      </c>
      <c r="AK203" s="66">
        <v>0.49058318206402851</v>
      </c>
      <c r="AL203" s="70">
        <v>0</v>
      </c>
      <c r="AM203" s="66">
        <v>0</v>
      </c>
      <c r="AN203" s="66">
        <v>0</v>
      </c>
      <c r="AO203" s="66">
        <v>0</v>
      </c>
      <c r="AP203" s="66">
        <v>70.623836557214872</v>
      </c>
      <c r="AQ203" s="71">
        <v>9.8561271515120783</v>
      </c>
      <c r="AR203" s="71">
        <v>9.0192861669497315</v>
      </c>
      <c r="AS203" s="111"/>
      <c r="AT203">
        <f t="shared" si="7"/>
        <v>1</v>
      </c>
      <c r="AU203" t="str">
        <f t="shared" si="6"/>
        <v>Sri Lanka</v>
      </c>
    </row>
    <row r="204" spans="1:47">
      <c r="A204">
        <v>392</v>
      </c>
      <c r="B204" s="72" t="s">
        <v>464</v>
      </c>
      <c r="C204" s="73" t="s">
        <v>183</v>
      </c>
      <c r="D204" s="73">
        <v>2015</v>
      </c>
      <c r="E204" s="59">
        <v>34.586104538277439</v>
      </c>
      <c r="F204" s="60">
        <v>8.5617248172391012</v>
      </c>
      <c r="G204" s="60">
        <v>30.18642070061226</v>
      </c>
      <c r="H204" s="61">
        <v>26.665749943871209</v>
      </c>
      <c r="I204" s="62">
        <v>0.9094274640083313</v>
      </c>
      <c r="J204" s="63">
        <v>-1.6178575754165649</v>
      </c>
      <c r="K204" s="64">
        <v>22.870929038922899</v>
      </c>
      <c r="L204" s="60">
        <v>6.3988322055574756</v>
      </c>
      <c r="M204" s="65">
        <v>32.241308773934627</v>
      </c>
      <c r="N204" s="61">
        <v>38.488929981584988</v>
      </c>
      <c r="O204" s="63">
        <v>0.7814977765083313</v>
      </c>
      <c r="P204" s="63">
        <v>-1.6967426538467407</v>
      </c>
      <c r="Q204" s="74">
        <v>57.525059960518313</v>
      </c>
      <c r="R204" s="66">
        <v>12.79678704103528</v>
      </c>
      <c r="S204" s="66">
        <v>26.162837279754971</v>
      </c>
      <c r="T204" s="67">
        <v>3.5153157186914541</v>
      </c>
      <c r="U204" s="68">
        <v>1.0819807052612305</v>
      </c>
      <c r="V204" s="68">
        <v>-1.3599154949188232</v>
      </c>
      <c r="W204" s="69"/>
      <c r="X204" s="70">
        <v>0</v>
      </c>
      <c r="Y204" s="66">
        <v>0</v>
      </c>
      <c r="Z204" s="66">
        <v>0</v>
      </c>
      <c r="AA204" s="66">
        <v>0</v>
      </c>
      <c r="AB204" s="66">
        <v>29.29499225062807</v>
      </c>
      <c r="AC204" s="66">
        <v>4.5350788226670034</v>
      </c>
      <c r="AD204" s="66">
        <v>0.756033464982373</v>
      </c>
      <c r="AE204" s="70">
        <v>0</v>
      </c>
      <c r="AF204" s="66">
        <v>0</v>
      </c>
      <c r="AG204" s="66">
        <v>0</v>
      </c>
      <c r="AH204" s="66">
        <v>0</v>
      </c>
      <c r="AI204" s="66">
        <v>22.080532483146548</v>
      </c>
      <c r="AJ204" s="66">
        <v>0.68733093925131172</v>
      </c>
      <c r="AK204" s="66">
        <v>0.1030656165250381</v>
      </c>
      <c r="AL204" s="70">
        <v>0</v>
      </c>
      <c r="AM204" s="66">
        <v>0</v>
      </c>
      <c r="AN204" s="66">
        <v>0</v>
      </c>
      <c r="AO204" s="66">
        <v>0</v>
      </c>
      <c r="AP204" s="66">
        <v>43.172610654291518</v>
      </c>
      <c r="AQ204" s="71">
        <v>12.28142803782062</v>
      </c>
      <c r="AR204" s="71">
        <v>2.0710212684061631</v>
      </c>
      <c r="AS204" s="111"/>
      <c r="AT204">
        <f t="shared" si="7"/>
        <v>1</v>
      </c>
      <c r="AU204" t="str">
        <f t="shared" si="6"/>
        <v>Sudan</v>
      </c>
    </row>
    <row r="205" spans="1:47">
      <c r="A205">
        <v>394</v>
      </c>
      <c r="B205" s="72" t="s">
        <v>465</v>
      </c>
      <c r="C205" s="73" t="s">
        <v>184</v>
      </c>
      <c r="D205" s="73">
        <v>2015</v>
      </c>
      <c r="E205" s="59">
        <v>79.219198426854149</v>
      </c>
      <c r="F205" s="60">
        <v>9.6708199310406098</v>
      </c>
      <c r="G205" s="60">
        <v>4.7937386421052688</v>
      </c>
      <c r="H205" s="61">
        <v>6.3162429999999707</v>
      </c>
      <c r="I205" s="62">
        <v>-0.11379490047693253</v>
      </c>
      <c r="J205" s="63">
        <v>-8.3307422697544098E-2</v>
      </c>
      <c r="K205" s="64">
        <v>61.382105295435061</v>
      </c>
      <c r="L205" s="60">
        <v>10.956842072985969</v>
      </c>
      <c r="M205" s="65">
        <v>9.5926315789474792</v>
      </c>
      <c r="N205" s="61">
        <v>18.068421052631489</v>
      </c>
      <c r="O205" s="63">
        <v>-0.13790921866893768</v>
      </c>
      <c r="P205" s="63">
        <v>-0.29578948020935059</v>
      </c>
      <c r="Q205" s="74">
        <v>88.390407661195368</v>
      </c>
      <c r="R205" s="66">
        <v>9.0095923388046639</v>
      </c>
      <c r="S205" s="66">
        <v>2.326315789473647</v>
      </c>
      <c r="T205" s="67">
        <v>0.2736842105263193</v>
      </c>
      <c r="U205" s="68">
        <v>-9.074990451335907E-2</v>
      </c>
      <c r="V205" s="68">
        <v>1.6842104494571686E-2</v>
      </c>
      <c r="W205" s="69"/>
      <c r="X205" s="70">
        <v>0</v>
      </c>
      <c r="Y205" s="66">
        <v>0</v>
      </c>
      <c r="Z205" s="66">
        <v>0</v>
      </c>
      <c r="AA205" s="66">
        <v>1.1817445336815E-3</v>
      </c>
      <c r="AB205" s="66">
        <v>13.264186002282591</v>
      </c>
      <c r="AC205" s="66">
        <v>64.773267890890068</v>
      </c>
      <c r="AD205" s="66">
        <v>1.181744533681498</v>
      </c>
      <c r="AE205" s="70">
        <v>0</v>
      </c>
      <c r="AF205" s="66">
        <v>0</v>
      </c>
      <c r="AG205" s="66">
        <v>0</v>
      </c>
      <c r="AH205" s="66">
        <v>6.4776010993750001E-4</v>
      </c>
      <c r="AI205" s="66">
        <v>23.271539223014148</v>
      </c>
      <c r="AJ205" s="66">
        <v>37.462805962483422</v>
      </c>
      <c r="AK205" s="66">
        <v>0.64776010993748967</v>
      </c>
      <c r="AL205" s="70">
        <v>0</v>
      </c>
      <c r="AM205" s="66">
        <v>0</v>
      </c>
      <c r="AN205" s="66">
        <v>0</v>
      </c>
      <c r="AO205" s="66">
        <v>1.4658725287974E-3</v>
      </c>
      <c r="AP205" s="66">
        <v>7.6544929434307347</v>
      </c>
      <c r="AQ205" s="71">
        <v>79.270042188967267</v>
      </c>
      <c r="AR205" s="71">
        <v>1.465872528797362</v>
      </c>
      <c r="AS205" s="111"/>
      <c r="AT205">
        <f t="shared" si="7"/>
        <v>0.999</v>
      </c>
      <c r="AU205" t="str">
        <f t="shared" si="6"/>
        <v>Suriname</v>
      </c>
    </row>
    <row r="206" spans="1:47">
      <c r="A206">
        <v>396</v>
      </c>
      <c r="B206" s="72" t="s">
        <v>466</v>
      </c>
      <c r="C206" s="73" t="s">
        <v>185</v>
      </c>
      <c r="D206" s="73">
        <v>2015</v>
      </c>
      <c r="E206" s="59">
        <v>58.025835693693367</v>
      </c>
      <c r="F206" s="60">
        <v>23.734467943752531</v>
      </c>
      <c r="G206" s="60">
        <v>7.301370414281676</v>
      </c>
      <c r="H206" s="61">
        <v>10.93832594827243</v>
      </c>
      <c r="I206" s="62">
        <v>0.58729445934295654</v>
      </c>
      <c r="J206" s="63">
        <v>-0.81556558609008789</v>
      </c>
      <c r="K206" s="64">
        <v>57.987538598187008</v>
      </c>
      <c r="L206" s="60">
        <v>20.694832457403219</v>
      </c>
      <c r="M206" s="65">
        <v>7.6057972620885721</v>
      </c>
      <c r="N206" s="61">
        <v>13.71183168232119</v>
      </c>
      <c r="O206" s="63">
        <v>0.74501210451126099</v>
      </c>
      <c r="P206" s="63">
        <v>-1.0380623340606689</v>
      </c>
      <c r="Q206" s="74">
        <v>58.167269664013681</v>
      </c>
      <c r="R206" s="66">
        <v>34.960063761839642</v>
      </c>
      <c r="S206" s="66">
        <v>6.1770998347988382</v>
      </c>
      <c r="T206" s="67">
        <v>0.6955667393478393</v>
      </c>
      <c r="U206" s="68">
        <v>5.0519715994596481E-2</v>
      </c>
      <c r="V206" s="68">
        <v>-0.11000468581914902</v>
      </c>
      <c r="W206" s="69"/>
      <c r="X206" s="70">
        <v>0</v>
      </c>
      <c r="Y206" s="66">
        <v>0</v>
      </c>
      <c r="Z206" s="66">
        <v>0</v>
      </c>
      <c r="AA206" s="66">
        <v>3.353950248191941</v>
      </c>
      <c r="AB206" s="66">
        <v>47.529270761752493</v>
      </c>
      <c r="AC206" s="66">
        <v>3.828671794382331</v>
      </c>
      <c r="AD206" s="66">
        <v>6.6678931375585302</v>
      </c>
      <c r="AE206" s="70">
        <v>0</v>
      </c>
      <c r="AF206" s="66">
        <v>0</v>
      </c>
      <c r="AG206" s="66">
        <v>0</v>
      </c>
      <c r="AH206" s="66">
        <v>0.95058557967772817</v>
      </c>
      <c r="AI206" s="66">
        <v>53.73936210355447</v>
      </c>
      <c r="AJ206" s="66">
        <v>2.3583443282752312</v>
      </c>
      <c r="AK206" s="66">
        <v>1.889832166357313</v>
      </c>
      <c r="AL206" s="70">
        <v>0</v>
      </c>
      <c r="AM206" s="66">
        <v>0</v>
      </c>
      <c r="AN206" s="66">
        <v>0</v>
      </c>
      <c r="AO206" s="66">
        <v>10.87751752981586</v>
      </c>
      <c r="AP206" s="66">
        <v>28.109895407300829</v>
      </c>
      <c r="AQ206" s="71">
        <v>8.4320908972379875</v>
      </c>
      <c r="AR206" s="71">
        <v>21.625283359474871</v>
      </c>
      <c r="AS206" s="111"/>
      <c r="AT206">
        <f t="shared" si="7"/>
        <v>0.49699999999999994</v>
      </c>
      <c r="AU206" t="str">
        <f t="shared" si="6"/>
        <v>Swaziland</v>
      </c>
    </row>
    <row r="207" spans="1:47">
      <c r="A207">
        <v>398</v>
      </c>
      <c r="B207" s="72" t="s">
        <v>467</v>
      </c>
      <c r="C207" s="73" t="s">
        <v>186</v>
      </c>
      <c r="D207" s="73">
        <v>2015</v>
      </c>
      <c r="E207" s="59">
        <v>99.303533614908503</v>
      </c>
      <c r="F207" s="60">
        <v>0.69323739279902818</v>
      </c>
      <c r="G207" s="60">
        <v>3.2289922924633001E-3</v>
      </c>
      <c r="H207" s="61">
        <v>0</v>
      </c>
      <c r="I207" s="62">
        <v>-6.9082569098100066E-4</v>
      </c>
      <c r="J207" s="63">
        <v>0</v>
      </c>
      <c r="K207" s="64">
        <v>99.647172003212106</v>
      </c>
      <c r="L207" s="60">
        <v>0.34999006724660542</v>
      </c>
      <c r="M207" s="65">
        <v>2.8379295413003998E-3</v>
      </c>
      <c r="N207" s="61">
        <v>0</v>
      </c>
      <c r="O207" s="63">
        <v>-1.8853311485145241E-4</v>
      </c>
      <c r="P207" s="63">
        <v>0</v>
      </c>
      <c r="Q207" s="74">
        <v>99.246731068289776</v>
      </c>
      <c r="R207" s="66">
        <v>0.74997529774526273</v>
      </c>
      <c r="S207" s="66">
        <v>3.2936339649722998E-3</v>
      </c>
      <c r="T207" s="67">
        <v>0</v>
      </c>
      <c r="U207" s="68">
        <v>-2.1792878396809101E-4</v>
      </c>
      <c r="V207" s="68">
        <v>0</v>
      </c>
      <c r="W207" s="69"/>
      <c r="X207" s="70">
        <v>92.310835744359565</v>
      </c>
      <c r="Y207" s="66">
        <v>6.9926978705489278</v>
      </c>
      <c r="Z207" s="66">
        <v>0</v>
      </c>
      <c r="AA207" s="66">
        <v>85.318137873810642</v>
      </c>
      <c r="AB207" s="66">
        <v>1.8881915017856929</v>
      </c>
      <c r="AC207" s="66">
        <v>12.097204239312161</v>
      </c>
      <c r="AD207" s="66">
        <v>85.318137873810642</v>
      </c>
      <c r="AE207" s="70">
        <v>87.347273571185596</v>
      </c>
      <c r="AF207" s="66">
        <v>12.299898432026501</v>
      </c>
      <c r="AG207" s="66">
        <v>0</v>
      </c>
      <c r="AH207" s="66">
        <v>75.047375139159087</v>
      </c>
      <c r="AI207" s="66">
        <v>0.86654925521957737</v>
      </c>
      <c r="AJ207" s="66">
        <v>23.73324760883343</v>
      </c>
      <c r="AK207" s="66">
        <v>75.047375139159087</v>
      </c>
      <c r="AL207" s="70">
        <v>93.127794539813834</v>
      </c>
      <c r="AM207" s="66">
        <v>6.1189365284759321</v>
      </c>
      <c r="AN207" s="66">
        <v>0</v>
      </c>
      <c r="AO207" s="66">
        <v>87.008858011337907</v>
      </c>
      <c r="AP207" s="66">
        <v>2.0563841445789781</v>
      </c>
      <c r="AQ207" s="71">
        <v>10.18148891237289</v>
      </c>
      <c r="AR207" s="71">
        <v>87.008858011337907</v>
      </c>
      <c r="AS207" s="111"/>
      <c r="AT207">
        <f t="shared" si="7"/>
        <v>0</v>
      </c>
      <c r="AU207" t="str">
        <f t="shared" si="6"/>
        <v>Sweden</v>
      </c>
    </row>
    <row r="208" spans="1:47">
      <c r="A208">
        <v>400</v>
      </c>
      <c r="B208" s="72" t="s">
        <v>468</v>
      </c>
      <c r="C208" s="73" t="s">
        <v>187</v>
      </c>
      <c r="D208" s="73">
        <v>2015</v>
      </c>
      <c r="E208" s="59">
        <v>99.891042029072239</v>
      </c>
      <c r="F208" s="60">
        <v>0.1001174082678899</v>
      </c>
      <c r="G208" s="60">
        <v>8.8405626598700004E-3</v>
      </c>
      <c r="H208" s="61">
        <v>0</v>
      </c>
      <c r="I208" s="62">
        <v>-5.8874086244031787E-4</v>
      </c>
      <c r="J208" s="63">
        <v>0</v>
      </c>
      <c r="K208" s="64">
        <v>99.865946086546487</v>
      </c>
      <c r="L208" s="60">
        <v>0.1001664454228149</v>
      </c>
      <c r="M208" s="65">
        <v>3.38874680306986E-2</v>
      </c>
      <c r="N208" s="61">
        <v>0</v>
      </c>
      <c r="O208" s="63">
        <v>-2.2569007705897093E-3</v>
      </c>
      <c r="P208" s="63">
        <v>0</v>
      </c>
      <c r="Q208" s="74">
        <v>99.899899899899879</v>
      </c>
      <c r="R208" s="66">
        <v>0.10010010010010011</v>
      </c>
      <c r="S208" s="66">
        <v>0</v>
      </c>
      <c r="T208" s="67">
        <v>0</v>
      </c>
      <c r="U208" s="68">
        <v>-9.473903637570555E-16</v>
      </c>
      <c r="V208" s="68">
        <v>0</v>
      </c>
      <c r="W208" s="69"/>
      <c r="X208" s="70">
        <v>98.987241674108958</v>
      </c>
      <c r="Y208" s="66">
        <v>0.90380035496327649</v>
      </c>
      <c r="Z208" s="66">
        <v>0</v>
      </c>
      <c r="AA208" s="66">
        <v>98.083441319145678</v>
      </c>
      <c r="AB208" s="66">
        <v>1.9596400112579002E-2</v>
      </c>
      <c r="AC208" s="66">
        <v>1.788004309813974</v>
      </c>
      <c r="AD208" s="66">
        <v>98.083441319145678</v>
      </c>
      <c r="AE208" s="70">
        <v>96.401519207495667</v>
      </c>
      <c r="AF208" s="66">
        <v>3.464426879050829</v>
      </c>
      <c r="AG208" s="66">
        <v>0</v>
      </c>
      <c r="AH208" s="66">
        <v>92.937092328444834</v>
      </c>
      <c r="AI208" s="66">
        <v>7.5116473355910596E-2</v>
      </c>
      <c r="AJ208" s="66">
        <v>6.8537372847457467</v>
      </c>
      <c r="AK208" s="66">
        <v>92.937092328444834</v>
      </c>
      <c r="AL208" s="70">
        <v>99.899899899899879</v>
      </c>
      <c r="AM208" s="66">
        <v>0</v>
      </c>
      <c r="AN208" s="66">
        <v>0</v>
      </c>
      <c r="AO208" s="66">
        <v>99.899899899899879</v>
      </c>
      <c r="AP208" s="66">
        <v>0</v>
      </c>
      <c r="AQ208" s="71">
        <v>0</v>
      </c>
      <c r="AR208" s="71">
        <v>99.899899899899879</v>
      </c>
      <c r="AS208" s="111"/>
      <c r="AT208">
        <f t="shared" si="7"/>
        <v>0</v>
      </c>
      <c r="AU208" t="str">
        <f t="shared" si="6"/>
        <v>Switzerland</v>
      </c>
    </row>
    <row r="209" spans="1:47">
      <c r="A209">
        <v>402</v>
      </c>
      <c r="B209" s="72" t="s">
        <v>469</v>
      </c>
      <c r="C209" s="73" t="s">
        <v>188</v>
      </c>
      <c r="D209" s="73">
        <v>2015</v>
      </c>
      <c r="E209" s="59">
        <v>92.947152944526238</v>
      </c>
      <c r="F209" s="60">
        <v>4.1836941895794864</v>
      </c>
      <c r="G209" s="60">
        <v>2.0556215325609202</v>
      </c>
      <c r="H209" s="61">
        <v>0.8135313333333436</v>
      </c>
      <c r="I209" s="62">
        <v>-7.3324330151081085E-3</v>
      </c>
      <c r="J209" s="63">
        <v>-6.8566687405109406E-2</v>
      </c>
      <c r="K209" s="64">
        <v>89.141043159707834</v>
      </c>
      <c r="L209" s="60">
        <v>4.996695244378242</v>
      </c>
      <c r="M209" s="65">
        <v>4.4289282625805697</v>
      </c>
      <c r="N209" s="61">
        <v>1.4333333333333369</v>
      </c>
      <c r="O209" s="63">
        <v>-5.7973593473434448E-2</v>
      </c>
      <c r="P209" s="63">
        <v>-0.15999999642372131</v>
      </c>
      <c r="Q209" s="74">
        <v>95.742454608331414</v>
      </c>
      <c r="R209" s="66">
        <v>3.586605999895871</v>
      </c>
      <c r="S209" s="66">
        <v>0.31260605843937128</v>
      </c>
      <c r="T209" s="67">
        <v>0.35833333333334849</v>
      </c>
      <c r="U209" s="68">
        <v>-8.8539374992251396E-3</v>
      </c>
      <c r="V209" s="68">
        <v>2.3888889700174332E-2</v>
      </c>
      <c r="W209" s="69"/>
      <c r="X209" s="70">
        <v>0</v>
      </c>
      <c r="Y209" s="66">
        <v>0</v>
      </c>
      <c r="Z209" s="66">
        <v>0</v>
      </c>
      <c r="AA209" s="66">
        <v>0</v>
      </c>
      <c r="AB209" s="66">
        <v>16.729418307337259</v>
      </c>
      <c r="AC209" s="66">
        <v>5.1283299864054586</v>
      </c>
      <c r="AD209" s="66">
        <v>71.089404650783536</v>
      </c>
      <c r="AE209" s="70">
        <v>0</v>
      </c>
      <c r="AF209" s="66">
        <v>0</v>
      </c>
      <c r="AG209" s="66">
        <v>0</v>
      </c>
      <c r="AH209" s="66">
        <v>0</v>
      </c>
      <c r="AI209" s="66">
        <v>36.350172671385131</v>
      </c>
      <c r="AJ209" s="66">
        <v>10.179405520169849</v>
      </c>
      <c r="AK209" s="66">
        <v>42.611464968152859</v>
      </c>
      <c r="AL209" s="70">
        <v>0</v>
      </c>
      <c r="AM209" s="66">
        <v>0</v>
      </c>
      <c r="AN209" s="66">
        <v>0</v>
      </c>
      <c r="AO209" s="66">
        <v>0</v>
      </c>
      <c r="AP209" s="66">
        <v>2.0521837958940821</v>
      </c>
      <c r="AQ209" s="71">
        <v>1.3494483450351049</v>
      </c>
      <c r="AR209" s="71">
        <v>92.340822467402219</v>
      </c>
      <c r="AS209" s="111"/>
      <c r="AT209">
        <f t="shared" si="7"/>
        <v>1</v>
      </c>
      <c r="AU209" t="str">
        <f t="shared" si="6"/>
        <v>Syrian Arab Republic</v>
      </c>
    </row>
    <row r="210" spans="1:47">
      <c r="A210">
        <v>404</v>
      </c>
      <c r="B210" s="72" t="s">
        <v>470</v>
      </c>
      <c r="C210" s="73" t="s">
        <v>189</v>
      </c>
      <c r="D210" s="73">
        <v>2015</v>
      </c>
      <c r="E210" s="59">
        <v>95.492141508250299</v>
      </c>
      <c r="F210" s="60">
        <v>3.154961011379664</v>
      </c>
      <c r="G210" s="60">
        <v>1.286793987359949</v>
      </c>
      <c r="H210" s="61">
        <v>6.61034930101113E-2</v>
      </c>
      <c r="I210" s="62">
        <v>0.37439757585525513</v>
      </c>
      <c r="J210" s="63">
        <v>-9.0029530227184296E-2</v>
      </c>
      <c r="K210" s="64">
        <v>96.034109185098103</v>
      </c>
      <c r="L210" s="60">
        <v>2.4003010247735652</v>
      </c>
      <c r="M210" s="65">
        <v>1.47530667257513</v>
      </c>
      <c r="N210" s="61">
        <v>9.0283117553212805E-2</v>
      </c>
      <c r="O210" s="63">
        <v>0.46638074517250061</v>
      </c>
      <c r="P210" s="63">
        <v>-0.10144884139299393</v>
      </c>
      <c r="Q210" s="74">
        <v>94.010482581977328</v>
      </c>
      <c r="R210" s="66">
        <v>5.2180890413746388</v>
      </c>
      <c r="S210" s="66">
        <v>0.7714283766480321</v>
      </c>
      <c r="T210" s="67">
        <v>0</v>
      </c>
      <c r="U210" s="68">
        <v>0.12059873342514038</v>
      </c>
      <c r="V210" s="68">
        <v>-5.8267049491405487E-2</v>
      </c>
      <c r="W210" s="69"/>
      <c r="X210" s="70">
        <v>0</v>
      </c>
      <c r="Y210" s="66">
        <v>0</v>
      </c>
      <c r="Z210" s="66">
        <v>0</v>
      </c>
      <c r="AA210" s="66">
        <v>0</v>
      </c>
      <c r="AB210" s="66">
        <v>80.442493735515711</v>
      </c>
      <c r="AC210" s="66">
        <v>0.1043665555304301</v>
      </c>
      <c r="AD210" s="66">
        <v>14.94528121720413</v>
      </c>
      <c r="AE210" s="70">
        <v>0</v>
      </c>
      <c r="AF210" s="66">
        <v>0</v>
      </c>
      <c r="AG210" s="66">
        <v>0</v>
      </c>
      <c r="AH210" s="66">
        <v>0</v>
      </c>
      <c r="AI210" s="66">
        <v>95.790205379050136</v>
      </c>
      <c r="AJ210" s="66">
        <v>0</v>
      </c>
      <c r="AK210" s="66">
        <v>0.24390380604796669</v>
      </c>
      <c r="AL210" s="70">
        <v>0</v>
      </c>
      <c r="AM210" s="66">
        <v>0</v>
      </c>
      <c r="AN210" s="66">
        <v>0</v>
      </c>
      <c r="AO210" s="66">
        <v>0</v>
      </c>
      <c r="AP210" s="66">
        <v>39.66093186527133</v>
      </c>
      <c r="AQ210" s="71">
        <v>0.38139464201785689</v>
      </c>
      <c r="AR210" s="71">
        <v>53.968156074688153</v>
      </c>
      <c r="AS210" s="111"/>
      <c r="AT210">
        <f t="shared" si="7"/>
        <v>1</v>
      </c>
      <c r="AU210" t="str">
        <f t="shared" si="6"/>
        <v>Tajikistan</v>
      </c>
    </row>
    <row r="211" spans="1:47">
      <c r="A211">
        <v>406</v>
      </c>
      <c r="B211" s="72" t="s">
        <v>471</v>
      </c>
      <c r="C211" s="73" t="s">
        <v>190</v>
      </c>
      <c r="D211" s="73">
        <v>2015</v>
      </c>
      <c r="E211" s="59">
        <v>95.011297174274546</v>
      </c>
      <c r="F211" s="60">
        <v>4.5589704227682484</v>
      </c>
      <c r="G211" s="60">
        <v>0.15805930995370229</v>
      </c>
      <c r="H211" s="61">
        <v>0.27167309300349962</v>
      </c>
      <c r="I211" s="62">
        <v>9.1341333463788033E-3</v>
      </c>
      <c r="J211" s="63">
        <v>-4.8900969326496124E-2</v>
      </c>
      <c r="K211" s="64">
        <v>96.218531804885131</v>
      </c>
      <c r="L211" s="60">
        <v>3.1850316529750602</v>
      </c>
      <c r="M211" s="65">
        <v>0.13818089439300249</v>
      </c>
      <c r="N211" s="61">
        <v>0.45825564774681032</v>
      </c>
      <c r="O211" s="63">
        <v>5.5842321366071701E-2</v>
      </c>
      <c r="P211" s="63">
        <v>-5.7241905480623245E-2</v>
      </c>
      <c r="Q211" s="74">
        <v>93.821988686191801</v>
      </c>
      <c r="R211" s="66">
        <v>5.912507671939581</v>
      </c>
      <c r="S211" s="66">
        <v>0.17764255231315931</v>
      </c>
      <c r="T211" s="67">
        <v>8.7861089555460098E-2</v>
      </c>
      <c r="U211" s="68">
        <v>3.6645098589360714E-3</v>
      </c>
      <c r="V211" s="68">
        <v>-1.573827862739563E-2</v>
      </c>
      <c r="W211" s="69"/>
      <c r="X211" s="70">
        <v>0</v>
      </c>
      <c r="Y211" s="66">
        <v>0</v>
      </c>
      <c r="Z211" s="66">
        <v>0</v>
      </c>
      <c r="AA211" s="66">
        <v>0</v>
      </c>
      <c r="AB211" s="66">
        <v>2.7213320584929299</v>
      </c>
      <c r="AC211" s="66">
        <v>85.496050977001801</v>
      </c>
      <c r="AD211" s="66">
        <v>6.7939141387798152</v>
      </c>
      <c r="AE211" s="70">
        <v>0</v>
      </c>
      <c r="AF211" s="66">
        <v>0</v>
      </c>
      <c r="AG211" s="66">
        <v>0</v>
      </c>
      <c r="AH211" s="66">
        <v>0</v>
      </c>
      <c r="AI211" s="66">
        <v>3.6357427224125161</v>
      </c>
      <c r="AJ211" s="66">
        <v>88.473961170993846</v>
      </c>
      <c r="AK211" s="66">
        <v>4.1088279114787687</v>
      </c>
      <c r="AL211" s="70">
        <v>0</v>
      </c>
      <c r="AM211" s="66">
        <v>0</v>
      </c>
      <c r="AN211" s="66">
        <v>0</v>
      </c>
      <c r="AO211" s="66">
        <v>0</v>
      </c>
      <c r="AP211" s="66">
        <v>1.8448926871075271</v>
      </c>
      <c r="AQ211" s="71">
        <v>82.614803375779729</v>
      </c>
      <c r="AR211" s="71">
        <v>9.3622926233045494</v>
      </c>
      <c r="AS211" s="111"/>
      <c r="AT211">
        <f t="shared" si="7"/>
        <v>1</v>
      </c>
      <c r="AU211" t="str">
        <f t="shared" si="6"/>
        <v>Thailand</v>
      </c>
    </row>
    <row r="212" spans="1:47">
      <c r="A212">
        <v>408</v>
      </c>
      <c r="B212" s="72" t="s">
        <v>472</v>
      </c>
      <c r="C212" s="73" t="s">
        <v>191</v>
      </c>
      <c r="D212" s="73">
        <v>2015</v>
      </c>
      <c r="E212" s="59">
        <v>90.911203008139594</v>
      </c>
      <c r="F212" s="60">
        <v>3.5294753918604038</v>
      </c>
      <c r="G212" s="60">
        <v>4.8644064000000267</v>
      </c>
      <c r="H212" s="61">
        <v>0.69491519999997764</v>
      </c>
      <c r="I212" s="62">
        <v>7.0837616920471191E-2</v>
      </c>
      <c r="J212" s="63">
        <v>4.1353441774845123E-2</v>
      </c>
      <c r="K212" s="64">
        <v>82.568767123287643</v>
      </c>
      <c r="L212" s="60">
        <v>4.4712328767123264</v>
      </c>
      <c r="M212" s="65">
        <v>11.34000000000009</v>
      </c>
      <c r="N212" s="61">
        <v>1.6199999999999479</v>
      </c>
      <c r="O212" s="63">
        <v>-0.15936985611915588</v>
      </c>
      <c r="P212" s="63">
        <v>9.6000000834465027E-2</v>
      </c>
      <c r="Q212" s="74">
        <v>97.177964175774235</v>
      </c>
      <c r="R212" s="66">
        <v>2.8220358242257708</v>
      </c>
      <c r="S212" s="66">
        <v>0</v>
      </c>
      <c r="T212" s="67">
        <v>0</v>
      </c>
      <c r="U212" s="68">
        <v>0.25784552097320557</v>
      </c>
      <c r="V212" s="68">
        <v>0</v>
      </c>
      <c r="W212" s="69"/>
      <c r="X212" s="70">
        <v>0</v>
      </c>
      <c r="Y212" s="66">
        <v>0</v>
      </c>
      <c r="Z212" s="66">
        <v>0</v>
      </c>
      <c r="AA212" s="66">
        <v>0</v>
      </c>
      <c r="AB212" s="66">
        <v>8.4320047207241906</v>
      </c>
      <c r="AC212" s="66">
        <v>11.88408892568353</v>
      </c>
      <c r="AD212" s="66">
        <v>70.595109361731872</v>
      </c>
      <c r="AE212" s="70">
        <v>0</v>
      </c>
      <c r="AF212" s="66">
        <v>0</v>
      </c>
      <c r="AG212" s="66">
        <v>0</v>
      </c>
      <c r="AH212" s="66">
        <v>0</v>
      </c>
      <c r="AI212" s="66">
        <v>19.371027397259471</v>
      </c>
      <c r="AJ212" s="66">
        <v>27.301575342466379</v>
      </c>
      <c r="AK212" s="66">
        <v>35.896164383561789</v>
      </c>
      <c r="AL212" s="70">
        <v>0</v>
      </c>
      <c r="AM212" s="66">
        <v>0</v>
      </c>
      <c r="AN212" s="66">
        <v>0</v>
      </c>
      <c r="AO212" s="66">
        <v>0</v>
      </c>
      <c r="AP212" s="66">
        <v>0</v>
      </c>
      <c r="AQ212" s="71">
        <v>0</v>
      </c>
      <c r="AR212" s="71">
        <v>97.177964175774235</v>
      </c>
      <c r="AS212" s="111"/>
      <c r="AT212">
        <f t="shared" si="7"/>
        <v>1</v>
      </c>
      <c r="AU212" t="str">
        <f t="shared" si="6"/>
        <v>The former Yugoslav Republic of Macedonia</v>
      </c>
    </row>
    <row r="213" spans="1:47">
      <c r="A213">
        <v>410</v>
      </c>
      <c r="B213" s="72" t="s">
        <v>473</v>
      </c>
      <c r="C213" s="73" t="s">
        <v>192</v>
      </c>
      <c r="D213" s="73">
        <v>2015</v>
      </c>
      <c r="E213" s="59">
        <v>44.011055964692801</v>
      </c>
      <c r="F213" s="60">
        <v>10.020211534141559</v>
      </c>
      <c r="G213" s="60">
        <v>22.35837385831536</v>
      </c>
      <c r="H213" s="61">
        <v>23.610358642850269</v>
      </c>
      <c r="I213" s="62">
        <v>0</v>
      </c>
      <c r="J213" s="63">
        <v>0</v>
      </c>
      <c r="K213" s="64">
        <v>30.119661838636318</v>
      </c>
      <c r="L213" s="60">
        <v>7.4154580874971403</v>
      </c>
      <c r="M213" s="65">
        <v>29.83875472442389</v>
      </c>
      <c r="N213" s="61">
        <v>32.626125349442653</v>
      </c>
      <c r="O213" s="63">
        <v>0</v>
      </c>
      <c r="P213" s="63">
        <v>0</v>
      </c>
      <c r="Q213" s="74">
        <v>72.510245073474536</v>
      </c>
      <c r="R213" s="66">
        <v>15.36404962440413</v>
      </c>
      <c r="S213" s="66">
        <v>7.0118372202782666</v>
      </c>
      <c r="T213" s="67">
        <v>5.1138680818430657</v>
      </c>
      <c r="U213" s="68">
        <v>0</v>
      </c>
      <c r="V213" s="68">
        <v>0</v>
      </c>
      <c r="W213" s="69"/>
      <c r="X213" s="70">
        <v>0</v>
      </c>
      <c r="Y213" s="66">
        <v>0</v>
      </c>
      <c r="Z213" s="66">
        <v>0</v>
      </c>
      <c r="AA213" s="66">
        <v>0</v>
      </c>
      <c r="AB213" s="66">
        <v>23.470634754414309</v>
      </c>
      <c r="AC213" s="66">
        <v>11.13341677763537</v>
      </c>
      <c r="AD213" s="66">
        <v>9.4070044326431432</v>
      </c>
      <c r="AE213" s="70">
        <v>0</v>
      </c>
      <c r="AF213" s="66">
        <v>0</v>
      </c>
      <c r="AG213" s="66">
        <v>0</v>
      </c>
      <c r="AH213" s="66">
        <v>0</v>
      </c>
      <c r="AI213" s="66">
        <v>19.566781395066808</v>
      </c>
      <c r="AJ213" s="66">
        <v>3.869233689780653</v>
      </c>
      <c r="AK213" s="66">
        <v>6.6836467537888549</v>
      </c>
      <c r="AL213" s="70">
        <v>0</v>
      </c>
      <c r="AM213" s="66">
        <v>0</v>
      </c>
      <c r="AN213" s="66">
        <v>0</v>
      </c>
      <c r="AO213" s="66">
        <v>0</v>
      </c>
      <c r="AP213" s="66">
        <v>31.276120594119728</v>
      </c>
      <c r="AQ213" s="71">
        <v>26.254235201175419</v>
      </c>
      <c r="AR213" s="71">
        <v>14.979889278179391</v>
      </c>
      <c r="AS213" s="111"/>
      <c r="AT213">
        <f t="shared" si="7"/>
        <v>1</v>
      </c>
      <c r="AU213" t="str">
        <f t="shared" si="6"/>
        <v>Timor-Leste</v>
      </c>
    </row>
    <row r="214" spans="1:47">
      <c r="A214">
        <v>412</v>
      </c>
      <c r="B214" s="72" t="s">
        <v>474</v>
      </c>
      <c r="C214" s="73" t="s">
        <v>193</v>
      </c>
      <c r="D214" s="73">
        <v>2015</v>
      </c>
      <c r="E214" s="59">
        <v>13.948482308155571</v>
      </c>
      <c r="F214" s="60">
        <v>24.33664152111843</v>
      </c>
      <c r="G214" s="60">
        <v>11.03504901407336</v>
      </c>
      <c r="H214" s="61">
        <v>50.679827156652649</v>
      </c>
      <c r="I214" s="62">
        <v>0.19846102595329285</v>
      </c>
      <c r="J214" s="63">
        <v>-0.45748880505561829</v>
      </c>
      <c r="K214" s="64">
        <v>4.5296931586205664</v>
      </c>
      <c r="L214" s="60">
        <v>8.2350830245276754</v>
      </c>
      <c r="M214" s="65">
        <v>12.51554130193716</v>
      </c>
      <c r="N214" s="61">
        <v>74.719682514914595</v>
      </c>
      <c r="O214" s="63">
        <v>1.442223321646452E-2</v>
      </c>
      <c r="P214" s="63">
        <v>3.7672903388738632E-2</v>
      </c>
      <c r="Q214" s="74">
        <v>28.09787739827377</v>
      </c>
      <c r="R214" s="66">
        <v>48.525240407649363</v>
      </c>
      <c r="S214" s="66">
        <v>8.8109764739324419</v>
      </c>
      <c r="T214" s="67">
        <v>14.56590572014443</v>
      </c>
      <c r="U214" s="68">
        <v>0.23674070835113525</v>
      </c>
      <c r="V214" s="68">
        <v>-0.60704779624938965</v>
      </c>
      <c r="W214" s="69"/>
      <c r="X214" s="70">
        <v>0</v>
      </c>
      <c r="Y214" s="66">
        <v>0</v>
      </c>
      <c r="Z214" s="66">
        <v>0</v>
      </c>
      <c r="AA214" s="66">
        <v>0</v>
      </c>
      <c r="AB214" s="66">
        <v>7.8257586804313064</v>
      </c>
      <c r="AC214" s="66">
        <v>6.0707057420859289</v>
      </c>
      <c r="AD214" s="66">
        <v>5.2017885638336599E-2</v>
      </c>
      <c r="AE214" s="70">
        <v>0</v>
      </c>
      <c r="AF214" s="66">
        <v>0</v>
      </c>
      <c r="AG214" s="66">
        <v>0</v>
      </c>
      <c r="AH214" s="66">
        <v>0</v>
      </c>
      <c r="AI214" s="66">
        <v>3.791289508500602</v>
      </c>
      <c r="AJ214" s="66">
        <v>0.73760532099786125</v>
      </c>
      <c r="AK214" s="66">
        <v>7.9832912210410002E-4</v>
      </c>
      <c r="AL214" s="70">
        <v>0</v>
      </c>
      <c r="AM214" s="66">
        <v>0</v>
      </c>
      <c r="AN214" s="66">
        <v>0</v>
      </c>
      <c r="AO214" s="66">
        <v>0</v>
      </c>
      <c r="AP214" s="66">
        <v>13.823879511512139</v>
      </c>
      <c r="AQ214" s="71">
        <v>14.144228383879341</v>
      </c>
      <c r="AR214" s="71">
        <v>0.12976950288229461</v>
      </c>
      <c r="AS214" s="111"/>
      <c r="AT214">
        <f t="shared" si="7"/>
        <v>1</v>
      </c>
      <c r="AU214" t="str">
        <f t="shared" si="6"/>
        <v>Togo</v>
      </c>
    </row>
    <row r="215" spans="1:47">
      <c r="A215">
        <v>414</v>
      </c>
      <c r="B215" s="72" t="s">
        <v>475</v>
      </c>
      <c r="C215" s="73" t="s">
        <v>194</v>
      </c>
      <c r="D215" s="73">
        <v>2015</v>
      </c>
      <c r="E215" s="59">
        <v>93.066521231265838</v>
      </c>
      <c r="F215" s="60">
        <v>4.6524398076955826</v>
      </c>
      <c r="G215" s="60">
        <v>2.281038961038576</v>
      </c>
      <c r="H215" s="61">
        <v>0</v>
      </c>
      <c r="I215" s="62">
        <v>1.0674927234649658</v>
      </c>
      <c r="J215" s="63">
        <v>0</v>
      </c>
      <c r="K215" s="64">
        <v>93.066521231265838</v>
      </c>
      <c r="L215" s="60">
        <v>4.6524398076955826</v>
      </c>
      <c r="M215" s="65">
        <v>2.281038961038576</v>
      </c>
      <c r="N215" s="61">
        <v>0</v>
      </c>
      <c r="O215" s="63">
        <v>1.0674927234649658</v>
      </c>
      <c r="P215" s="63">
        <v>0</v>
      </c>
      <c r="Q215" s="74">
        <v>0</v>
      </c>
      <c r="R215" s="66">
        <v>0</v>
      </c>
      <c r="S215" s="66">
        <v>0</v>
      </c>
      <c r="T215" s="67">
        <v>0</v>
      </c>
      <c r="U215" s="68">
        <v>0</v>
      </c>
      <c r="V215" s="68">
        <v>0</v>
      </c>
      <c r="W215" s="69"/>
      <c r="X215" s="70">
        <v>0</v>
      </c>
      <c r="Y215" s="66">
        <v>0</v>
      </c>
      <c r="Z215" s="66">
        <v>0</v>
      </c>
      <c r="AA215" s="66">
        <v>0</v>
      </c>
      <c r="AB215" s="66">
        <v>0</v>
      </c>
      <c r="AC215" s="66">
        <v>0</v>
      </c>
      <c r="AD215" s="66">
        <v>0</v>
      </c>
      <c r="AE215" s="70">
        <v>0</v>
      </c>
      <c r="AF215" s="66">
        <v>0</v>
      </c>
      <c r="AG215" s="66">
        <v>0</v>
      </c>
      <c r="AH215" s="66">
        <v>0</v>
      </c>
      <c r="AI215" s="66">
        <v>0</v>
      </c>
      <c r="AJ215" s="66">
        <v>0</v>
      </c>
      <c r="AK215" s="66">
        <v>0</v>
      </c>
      <c r="AL215" s="70">
        <v>0</v>
      </c>
      <c r="AM215" s="66">
        <v>0</v>
      </c>
      <c r="AN215" s="66">
        <v>0</v>
      </c>
      <c r="AO215" s="66">
        <v>0</v>
      </c>
      <c r="AP215" s="66">
        <v>0</v>
      </c>
      <c r="AQ215" s="71">
        <v>0</v>
      </c>
      <c r="AR215" s="71">
        <v>0</v>
      </c>
      <c r="AS215" s="111"/>
      <c r="AT215" t="e">
        <f t="shared" si="7"/>
        <v>#DIV/0!</v>
      </c>
      <c r="AU215" t="str">
        <f t="shared" si="6"/>
        <v>Tokelau</v>
      </c>
    </row>
    <row r="216" spans="1:47">
      <c r="A216">
        <v>416</v>
      </c>
      <c r="B216" s="72" t="s">
        <v>476</v>
      </c>
      <c r="C216" s="73" t="s">
        <v>195</v>
      </c>
      <c r="D216" s="73">
        <v>2015</v>
      </c>
      <c r="E216" s="59">
        <v>93.467564056370946</v>
      </c>
      <c r="F216" s="60">
        <v>1.0224149532123481</v>
      </c>
      <c r="G216" s="60">
        <v>5.5100209904166917</v>
      </c>
      <c r="H216" s="61">
        <v>0</v>
      </c>
      <c r="I216" s="62">
        <v>0.31601420044898987</v>
      </c>
      <c r="J216" s="63">
        <v>0</v>
      </c>
      <c r="K216" s="64">
        <v>92.494055756591166</v>
      </c>
      <c r="L216" s="60">
        <v>1.0725428883978001</v>
      </c>
      <c r="M216" s="65">
        <v>6.4334013550110294</v>
      </c>
      <c r="N216" s="61">
        <v>0</v>
      </c>
      <c r="O216" s="63">
        <v>0.45356976985931396</v>
      </c>
      <c r="P216" s="63">
        <v>0</v>
      </c>
      <c r="Q216" s="74">
        <v>96.599606953368223</v>
      </c>
      <c r="R216" s="66">
        <v>0.86113965296657546</v>
      </c>
      <c r="S216" s="66">
        <v>2.5392533936652062</v>
      </c>
      <c r="T216" s="67">
        <v>0</v>
      </c>
      <c r="U216" s="68">
        <v>-0.15251171588897705</v>
      </c>
      <c r="V216" s="68">
        <v>0</v>
      </c>
      <c r="W216" s="69"/>
      <c r="X216" s="70">
        <v>0</v>
      </c>
      <c r="Y216" s="66">
        <v>0</v>
      </c>
      <c r="Z216" s="66">
        <v>0</v>
      </c>
      <c r="AA216" s="66">
        <v>0</v>
      </c>
      <c r="AB216" s="66">
        <v>13.61110700260747</v>
      </c>
      <c r="AC216" s="66">
        <v>79.856457053763492</v>
      </c>
      <c r="AD216" s="66">
        <v>0</v>
      </c>
      <c r="AE216" s="70">
        <v>0</v>
      </c>
      <c r="AF216" s="66">
        <v>0</v>
      </c>
      <c r="AG216" s="66">
        <v>0</v>
      </c>
      <c r="AH216" s="66">
        <v>0</v>
      </c>
      <c r="AI216" s="66">
        <v>15.7835754072462</v>
      </c>
      <c r="AJ216" s="66">
        <v>76.710480349344962</v>
      </c>
      <c r="AK216" s="66">
        <v>0</v>
      </c>
      <c r="AL216" s="70">
        <v>0</v>
      </c>
      <c r="AM216" s="66">
        <v>0</v>
      </c>
      <c r="AN216" s="66">
        <v>0</v>
      </c>
      <c r="AO216" s="66">
        <v>0</v>
      </c>
      <c r="AP216" s="66">
        <v>6.6018938556551241</v>
      </c>
      <c r="AQ216" s="71">
        <v>89.997713097713103</v>
      </c>
      <c r="AR216" s="71">
        <v>0</v>
      </c>
      <c r="AS216" s="111"/>
      <c r="AT216" t="e">
        <f t="shared" si="7"/>
        <v>#DIV/0!</v>
      </c>
      <c r="AU216" t="str">
        <f t="shared" si="6"/>
        <v>Tonga</v>
      </c>
    </row>
    <row r="217" spans="1:47">
      <c r="A217">
        <v>418</v>
      </c>
      <c r="B217" s="72" t="s">
        <v>477</v>
      </c>
      <c r="C217" s="73" t="s">
        <v>196</v>
      </c>
      <c r="D217" s="73">
        <v>2015</v>
      </c>
      <c r="E217" s="59">
        <v>92.146518681666919</v>
      </c>
      <c r="F217" s="60">
        <v>7.1439931462900974</v>
      </c>
      <c r="G217" s="60">
        <v>0.45206881720428532</v>
      </c>
      <c r="H217" s="61">
        <v>0.25741935483870998</v>
      </c>
      <c r="I217" s="62">
        <v>0.10649086534976959</v>
      </c>
      <c r="J217" s="63">
        <v>-2.3655914701521397E-3</v>
      </c>
      <c r="K217" s="64">
        <v>0</v>
      </c>
      <c r="L217" s="60">
        <v>0</v>
      </c>
      <c r="M217" s="65">
        <v>0</v>
      </c>
      <c r="N217" s="61">
        <v>0</v>
      </c>
      <c r="O217" s="63">
        <v>0</v>
      </c>
      <c r="P217" s="63">
        <v>0</v>
      </c>
      <c r="Q217" s="74">
        <v>0</v>
      </c>
      <c r="R217" s="66">
        <v>0</v>
      </c>
      <c r="S217" s="66">
        <v>0</v>
      </c>
      <c r="T217" s="67">
        <v>0</v>
      </c>
      <c r="U217" s="68">
        <v>0</v>
      </c>
      <c r="V217" s="68">
        <v>0</v>
      </c>
      <c r="W217" s="69"/>
      <c r="X217" s="70">
        <v>0</v>
      </c>
      <c r="Y217" s="66">
        <v>0</v>
      </c>
      <c r="Z217" s="66">
        <v>0</v>
      </c>
      <c r="AA217" s="66">
        <v>10.66144864560064</v>
      </c>
      <c r="AB217" s="66">
        <v>7.3452390706267154</v>
      </c>
      <c r="AC217" s="66">
        <v>68.399050925500759</v>
      </c>
      <c r="AD217" s="66">
        <v>16.402228685539441</v>
      </c>
      <c r="AE217" s="70">
        <v>0</v>
      </c>
      <c r="AF217" s="66">
        <v>0</v>
      </c>
      <c r="AG217" s="66">
        <v>0</v>
      </c>
      <c r="AH217" s="66">
        <v>0</v>
      </c>
      <c r="AI217" s="66">
        <v>0</v>
      </c>
      <c r="AJ217" s="66">
        <v>0</v>
      </c>
      <c r="AK217" s="66">
        <v>0</v>
      </c>
      <c r="AL217" s="70">
        <v>0</v>
      </c>
      <c r="AM217" s="66">
        <v>0</v>
      </c>
      <c r="AN217" s="66">
        <v>0</v>
      </c>
      <c r="AO217" s="66">
        <v>0</v>
      </c>
      <c r="AP217" s="66">
        <v>0</v>
      </c>
      <c r="AQ217" s="71">
        <v>0</v>
      </c>
      <c r="AR217" s="71">
        <v>0</v>
      </c>
      <c r="AS217" s="111"/>
      <c r="AT217">
        <f t="shared" si="7"/>
        <v>0.34999999999999981</v>
      </c>
      <c r="AU217" t="str">
        <f t="shared" si="6"/>
        <v>Trinidad and Tobago</v>
      </c>
    </row>
    <row r="218" spans="1:47">
      <c r="A218">
        <v>420</v>
      </c>
      <c r="B218" s="72" t="s">
        <v>478</v>
      </c>
      <c r="C218" s="73" t="s">
        <v>197</v>
      </c>
      <c r="D218" s="73">
        <v>2015</v>
      </c>
      <c r="E218" s="59">
        <v>93.127828401389962</v>
      </c>
      <c r="F218" s="60">
        <v>4.643887871082474</v>
      </c>
      <c r="G218" s="60">
        <v>1.334402347307726</v>
      </c>
      <c r="H218" s="61">
        <v>0.89388138021983077</v>
      </c>
      <c r="I218" s="62">
        <v>0.8460957407951355</v>
      </c>
      <c r="J218" s="63">
        <v>-0.65928035974502563</v>
      </c>
      <c r="K218" s="64">
        <v>83.178027063839465</v>
      </c>
      <c r="L218" s="60">
        <v>10.10177350456768</v>
      </c>
      <c r="M218" s="65">
        <v>4.0243752557685184</v>
      </c>
      <c r="N218" s="61">
        <v>2.695824175824328</v>
      </c>
      <c r="O218" s="63">
        <v>1.7830773591995239</v>
      </c>
      <c r="P218" s="63">
        <v>-1.7163076400756836</v>
      </c>
      <c r="Q218" s="74">
        <v>98.06358006577014</v>
      </c>
      <c r="R218" s="66">
        <v>1.9364199342298589</v>
      </c>
      <c r="S218" s="66">
        <v>0</v>
      </c>
      <c r="T218" s="67">
        <v>0</v>
      </c>
      <c r="U218" s="68">
        <v>0.25258567929267883</v>
      </c>
      <c r="V218" s="68">
        <v>-4.0251720696687698E-2</v>
      </c>
      <c r="W218" s="69"/>
      <c r="X218" s="70">
        <v>73.456851960895662</v>
      </c>
      <c r="Y218" s="66">
        <v>17.69607482572335</v>
      </c>
      <c r="Z218" s="66">
        <v>0</v>
      </c>
      <c r="AA218" s="66">
        <v>55.760777135172297</v>
      </c>
      <c r="AB218" s="66">
        <v>23.85896479794652</v>
      </c>
      <c r="AC218" s="66">
        <v>11.533184853500179</v>
      </c>
      <c r="AD218" s="66">
        <v>57.735678749943247</v>
      </c>
      <c r="AE218" s="70">
        <v>0</v>
      </c>
      <c r="AF218" s="66">
        <v>0</v>
      </c>
      <c r="AG218" s="66">
        <v>0</v>
      </c>
      <c r="AH218" s="66">
        <v>6.7256490079780198</v>
      </c>
      <c r="AI218" s="66">
        <v>55.98420342881262</v>
      </c>
      <c r="AJ218" s="66">
        <v>20.229969641956171</v>
      </c>
      <c r="AK218" s="66">
        <v>6.9638539930706722</v>
      </c>
      <c r="AL218" s="70">
        <v>88.68414267100583</v>
      </c>
      <c r="AM218" s="66">
        <v>6.4675392617762686</v>
      </c>
      <c r="AN218" s="66">
        <v>0</v>
      </c>
      <c r="AO218" s="66">
        <v>82.216603409229563</v>
      </c>
      <c r="AP218" s="66">
        <v>6.2072886298661141</v>
      </c>
      <c r="AQ218" s="71">
        <v>6.7277898936864222</v>
      </c>
      <c r="AR218" s="71">
        <v>85.128501542217606</v>
      </c>
      <c r="AS218" s="111"/>
      <c r="AT218">
        <f t="shared" si="7"/>
        <v>3.4205913181074209E-2</v>
      </c>
      <c r="AU218" t="str">
        <f t="shared" si="6"/>
        <v>Tunisia</v>
      </c>
    </row>
    <row r="219" spans="1:47">
      <c r="A219">
        <v>422</v>
      </c>
      <c r="B219" s="72" t="s">
        <v>479</v>
      </c>
      <c r="C219" s="73" t="s">
        <v>198</v>
      </c>
      <c r="D219" s="73">
        <v>2015</v>
      </c>
      <c r="E219" s="59">
        <v>96.372693509763948</v>
      </c>
      <c r="F219" s="60">
        <v>1.402472264045528</v>
      </c>
      <c r="G219" s="60">
        <v>1.892472516939421</v>
      </c>
      <c r="H219" s="61">
        <v>0.3323617092511012</v>
      </c>
      <c r="I219" s="62">
        <v>0.91560417413711548</v>
      </c>
      <c r="J219" s="63">
        <v>-1.375273521989584E-2</v>
      </c>
      <c r="K219" s="64">
        <v>89.041955616724479</v>
      </c>
      <c r="L219" s="60">
        <v>2.5949491451801139</v>
      </c>
      <c r="M219" s="65">
        <v>7.1137560310469539</v>
      </c>
      <c r="N219" s="61">
        <v>1.2493392070484579</v>
      </c>
      <c r="O219" s="63">
        <v>1.2777621746063232</v>
      </c>
      <c r="P219" s="63">
        <v>1.1101321317255497E-2</v>
      </c>
      <c r="Q219" s="74">
        <v>99.029745162672498</v>
      </c>
      <c r="R219" s="66">
        <v>0.97025483732749596</v>
      </c>
      <c r="S219" s="66">
        <v>0</v>
      </c>
      <c r="T219" s="67">
        <v>0</v>
      </c>
      <c r="U219" s="68">
        <v>0.62934118509292603</v>
      </c>
      <c r="V219" s="68">
        <v>-1.6152717173099518E-2</v>
      </c>
      <c r="W219" s="69"/>
      <c r="X219" s="70">
        <v>44.292399032999043</v>
      </c>
      <c r="Y219" s="66">
        <v>7.4714322819906451</v>
      </c>
      <c r="Z219" s="66">
        <v>0</v>
      </c>
      <c r="AA219" s="66">
        <v>36.820966751008399</v>
      </c>
      <c r="AB219" s="66">
        <v>14.94286456398129</v>
      </c>
      <c r="AC219" s="66">
        <v>0</v>
      </c>
      <c r="AD219" s="66">
        <v>81.42982894578266</v>
      </c>
      <c r="AE219" s="70">
        <v>0</v>
      </c>
      <c r="AF219" s="66">
        <v>0</v>
      </c>
      <c r="AG219" s="66">
        <v>0</v>
      </c>
      <c r="AH219" s="66">
        <v>19.212430723780042</v>
      </c>
      <c r="AI219" s="66">
        <v>46.553528899159758</v>
      </c>
      <c r="AJ219" s="66">
        <v>0</v>
      </c>
      <c r="AK219" s="66">
        <v>42.488426717564728</v>
      </c>
      <c r="AL219" s="70">
        <v>47.997849383234609</v>
      </c>
      <c r="AM219" s="66">
        <v>1.6290393079259451</v>
      </c>
      <c r="AN219" s="66">
        <v>0</v>
      </c>
      <c r="AO219" s="66">
        <v>46.368810075308673</v>
      </c>
      <c r="AP219" s="66">
        <v>3.2580786158518888</v>
      </c>
      <c r="AQ219" s="71">
        <v>0</v>
      </c>
      <c r="AR219" s="71">
        <v>95.771666546820612</v>
      </c>
      <c r="AS219" s="111"/>
      <c r="AT219">
        <f t="shared" si="7"/>
        <v>0.54781967213114968</v>
      </c>
      <c r="AU219" t="str">
        <f t="shared" si="6"/>
        <v>Turkey</v>
      </c>
    </row>
    <row r="220" spans="1:47">
      <c r="A220">
        <v>424</v>
      </c>
      <c r="B220" s="72" t="s">
        <v>480</v>
      </c>
      <c r="C220" s="73" t="s">
        <v>199</v>
      </c>
      <c r="D220" s="73">
        <v>2015</v>
      </c>
      <c r="E220" s="59">
        <v>96.567073356671514</v>
      </c>
      <c r="F220" s="60">
        <v>3.2739957585460968</v>
      </c>
      <c r="G220" s="60">
        <v>0.1095090891851529</v>
      </c>
      <c r="H220" s="61">
        <v>4.9421795597254202E-2</v>
      </c>
      <c r="I220" s="62">
        <v>9.1823585331439972E-2</v>
      </c>
      <c r="J220" s="63">
        <v>-3.5942748188972473E-2</v>
      </c>
      <c r="K220" s="64">
        <v>98.708908519422408</v>
      </c>
      <c r="L220" s="60">
        <v>0.97299431911333534</v>
      </c>
      <c r="M220" s="65">
        <v>0.21918037184543951</v>
      </c>
      <c r="N220" s="61">
        <v>9.8916789618826301E-2</v>
      </c>
      <c r="O220" s="63">
        <v>0.15937167406082153</v>
      </c>
      <c r="P220" s="63">
        <v>-5.0994433462619781E-2</v>
      </c>
      <c r="Q220" s="74">
        <v>94.428405765958189</v>
      </c>
      <c r="R220" s="66">
        <v>5.5715942340418128</v>
      </c>
      <c r="S220" s="66">
        <v>0</v>
      </c>
      <c r="T220" s="67">
        <v>0</v>
      </c>
      <c r="U220" s="68">
        <v>3.7881985306739807E-2</v>
      </c>
      <c r="V220" s="68">
        <v>-1.7619047313928604E-2</v>
      </c>
      <c r="W220" s="69"/>
      <c r="X220" s="70">
        <v>0</v>
      </c>
      <c r="Y220" s="66">
        <v>0</v>
      </c>
      <c r="Z220" s="66">
        <v>0</v>
      </c>
      <c r="AA220" s="66">
        <v>0</v>
      </c>
      <c r="AB220" s="66">
        <v>69.374552951335673</v>
      </c>
      <c r="AC220" s="66">
        <v>1.075779330723261</v>
      </c>
      <c r="AD220" s="66">
        <v>26.11674107461257</v>
      </c>
      <c r="AE220" s="70">
        <v>0</v>
      </c>
      <c r="AF220" s="66">
        <v>0</v>
      </c>
      <c r="AG220" s="66">
        <v>0</v>
      </c>
      <c r="AH220" s="66">
        <v>0</v>
      </c>
      <c r="AI220" s="66">
        <v>96.117788264536514</v>
      </c>
      <c r="AJ220" s="66">
        <v>1.238488187058955</v>
      </c>
      <c r="AK220" s="66">
        <v>1.3526320678269339</v>
      </c>
      <c r="AL220" s="70">
        <v>0</v>
      </c>
      <c r="AM220" s="66">
        <v>0</v>
      </c>
      <c r="AN220" s="66">
        <v>0</v>
      </c>
      <c r="AO220" s="66">
        <v>0</v>
      </c>
      <c r="AP220" s="66">
        <v>43.8388284616696</v>
      </c>
      <c r="AQ220" s="71">
        <v>0.91974524005677227</v>
      </c>
      <c r="AR220" s="71">
        <v>49.669832064231812</v>
      </c>
      <c r="AS220" s="111"/>
      <c r="AT220">
        <f t="shared" si="7"/>
        <v>1</v>
      </c>
      <c r="AU220" t="str">
        <f t="shared" si="6"/>
        <v>Turkmenistan</v>
      </c>
    </row>
    <row r="221" spans="1:47">
      <c r="A221">
        <v>426</v>
      </c>
      <c r="B221" s="72" t="s">
        <v>481</v>
      </c>
      <c r="C221" s="73" t="s">
        <v>200</v>
      </c>
      <c r="D221" s="73">
        <v>2015</v>
      </c>
      <c r="E221" s="59">
        <v>87.988636363636374</v>
      </c>
      <c r="F221" s="60">
        <v>0</v>
      </c>
      <c r="G221" s="60">
        <v>12.01136363636363</v>
      </c>
      <c r="H221" s="61">
        <v>0</v>
      </c>
      <c r="I221" s="62">
        <v>0.47303029894828796</v>
      </c>
      <c r="J221" s="63">
        <v>-0.17000000178813934</v>
      </c>
      <c r="K221" s="64">
        <v>0</v>
      </c>
      <c r="L221" s="60">
        <v>0</v>
      </c>
      <c r="M221" s="65">
        <v>0</v>
      </c>
      <c r="N221" s="61">
        <v>0</v>
      </c>
      <c r="O221" s="63">
        <v>0</v>
      </c>
      <c r="P221" s="63">
        <v>0</v>
      </c>
      <c r="Q221" s="74">
        <v>0</v>
      </c>
      <c r="R221" s="66">
        <v>0</v>
      </c>
      <c r="S221" s="66">
        <v>0</v>
      </c>
      <c r="T221" s="67">
        <v>0</v>
      </c>
      <c r="U221" s="68">
        <v>0</v>
      </c>
      <c r="V221" s="68">
        <v>0</v>
      </c>
      <c r="W221" s="69"/>
      <c r="X221" s="70">
        <v>0</v>
      </c>
      <c r="Y221" s="66">
        <v>0</v>
      </c>
      <c r="Z221" s="66">
        <v>0</v>
      </c>
      <c r="AA221" s="66">
        <v>0</v>
      </c>
      <c r="AB221" s="66">
        <v>17.43863636363638</v>
      </c>
      <c r="AC221" s="66">
        <v>61.349999999999987</v>
      </c>
      <c r="AD221" s="66">
        <v>9.1999999999999993</v>
      </c>
      <c r="AE221" s="70">
        <v>0</v>
      </c>
      <c r="AF221" s="66">
        <v>0</v>
      </c>
      <c r="AG221" s="66">
        <v>0</v>
      </c>
      <c r="AH221" s="66">
        <v>0</v>
      </c>
      <c r="AI221" s="66">
        <v>0</v>
      </c>
      <c r="AJ221" s="66">
        <v>0</v>
      </c>
      <c r="AK221" s="66">
        <v>0</v>
      </c>
      <c r="AL221" s="70">
        <v>0</v>
      </c>
      <c r="AM221" s="66">
        <v>0</v>
      </c>
      <c r="AN221" s="66">
        <v>0</v>
      </c>
      <c r="AO221" s="66">
        <v>0</v>
      </c>
      <c r="AP221" s="66">
        <v>0</v>
      </c>
      <c r="AQ221" s="71">
        <v>0</v>
      </c>
      <c r="AR221" s="71">
        <v>0</v>
      </c>
      <c r="AS221" s="111"/>
      <c r="AT221">
        <f t="shared" si="7"/>
        <v>1</v>
      </c>
      <c r="AU221" t="str">
        <f t="shared" si="6"/>
        <v>Turks and Caicos Islands</v>
      </c>
    </row>
    <row r="222" spans="1:47">
      <c r="A222">
        <v>428</v>
      </c>
      <c r="B222" s="72" t="s">
        <v>482</v>
      </c>
      <c r="C222" s="73" t="s">
        <v>201</v>
      </c>
      <c r="D222" s="73">
        <v>2015</v>
      </c>
      <c r="E222" s="59">
        <v>91.410398092469379</v>
      </c>
      <c r="F222" s="60">
        <v>7.3431671709784499E-2</v>
      </c>
      <c r="G222" s="60">
        <v>1.4212646</v>
      </c>
      <c r="H222" s="61">
        <v>7.0949056358208402</v>
      </c>
      <c r="I222" s="62">
        <v>0</v>
      </c>
      <c r="J222" s="63">
        <v>0</v>
      </c>
      <c r="K222" s="64">
        <v>90.996218905472659</v>
      </c>
      <c r="L222" s="60">
        <v>4.8557213930348203E-2</v>
      </c>
      <c r="M222" s="65">
        <v>0</v>
      </c>
      <c r="N222" s="61">
        <v>8.9552238805969964</v>
      </c>
      <c r="O222" s="63">
        <v>0</v>
      </c>
      <c r="P222" s="63">
        <v>0</v>
      </c>
      <c r="Q222" s="74">
        <v>91.68978888888897</v>
      </c>
      <c r="R222" s="66">
        <v>9.02111111111112E-2</v>
      </c>
      <c r="S222" s="66">
        <v>2.3799999999999959</v>
      </c>
      <c r="T222" s="67">
        <v>5.8399999999999181</v>
      </c>
      <c r="U222" s="68">
        <v>0</v>
      </c>
      <c r="V222" s="68">
        <v>0</v>
      </c>
      <c r="W222" s="69"/>
      <c r="X222" s="70">
        <v>8.9796053981813806</v>
      </c>
      <c r="Y222" s="66">
        <v>8.9796053981813806</v>
      </c>
      <c r="Z222" s="66">
        <v>0</v>
      </c>
      <c r="AA222" s="66">
        <v>0</v>
      </c>
      <c r="AB222" s="66">
        <v>9.6541863768332874</v>
      </c>
      <c r="AC222" s="66">
        <v>8.3050244195294756</v>
      </c>
      <c r="AD222" s="66">
        <v>73.45118729610661</v>
      </c>
      <c r="AE222" s="70">
        <v>14.01490945273633</v>
      </c>
      <c r="AF222" s="66">
        <v>14.01490945273633</v>
      </c>
      <c r="AG222" s="66">
        <v>0</v>
      </c>
      <c r="AH222" s="66">
        <v>0</v>
      </c>
      <c r="AI222" s="66">
        <v>13.037818905472649</v>
      </c>
      <c r="AJ222" s="66">
        <v>14.992000000000001</v>
      </c>
      <c r="AK222" s="66">
        <v>62.966400000000007</v>
      </c>
      <c r="AL222" s="70">
        <v>5.5845055555556034</v>
      </c>
      <c r="AM222" s="66">
        <v>5.5845055555556034</v>
      </c>
      <c r="AN222" s="66">
        <v>0</v>
      </c>
      <c r="AO222" s="66">
        <v>0</v>
      </c>
      <c r="AP222" s="66">
        <v>7.372746153846248</v>
      </c>
      <c r="AQ222" s="71">
        <v>3.7962649572649569</v>
      </c>
      <c r="AR222" s="71">
        <v>80.520777777777766</v>
      </c>
      <c r="AS222" s="111"/>
      <c r="AT222">
        <f t="shared" si="7"/>
        <v>1</v>
      </c>
      <c r="AU222" t="str">
        <f t="shared" si="6"/>
        <v>Tuvalu</v>
      </c>
    </row>
    <row r="223" spans="1:47">
      <c r="A223">
        <v>430</v>
      </c>
      <c r="B223" s="72" t="s">
        <v>483</v>
      </c>
      <c r="C223" s="73" t="s">
        <v>202</v>
      </c>
      <c r="D223" s="73">
        <v>2015</v>
      </c>
      <c r="E223" s="59">
        <v>19.150954594102121</v>
      </c>
      <c r="F223" s="60">
        <v>14.40953062357527</v>
      </c>
      <c r="G223" s="60">
        <v>60.233259350402449</v>
      </c>
      <c r="H223" s="61">
        <v>6.2062554319201562</v>
      </c>
      <c r="I223" s="62">
        <v>0.247386634349823</v>
      </c>
      <c r="J223" s="63">
        <v>-0.61705297231674194</v>
      </c>
      <c r="K223" s="64">
        <v>17.405854579894349</v>
      </c>
      <c r="L223" s="60">
        <v>8.9638053534211117</v>
      </c>
      <c r="M223" s="65">
        <v>66.637009446202455</v>
      </c>
      <c r="N223" s="61">
        <v>6.9933306204820838</v>
      </c>
      <c r="O223" s="63">
        <v>0.25183722376823425</v>
      </c>
      <c r="P223" s="63">
        <v>-0.68864047527313232</v>
      </c>
      <c r="Q223" s="74">
        <v>28.244311906816701</v>
      </c>
      <c r="R223" s="66">
        <v>42.786085150664533</v>
      </c>
      <c r="S223" s="66">
        <v>26.86463446452429</v>
      </c>
      <c r="T223" s="67">
        <v>2.1049684779944902</v>
      </c>
      <c r="U223" s="68">
        <v>-2.5355475023388863E-2</v>
      </c>
      <c r="V223" s="68">
        <v>1.2278499081730843E-2</v>
      </c>
      <c r="W223" s="69"/>
      <c r="X223" s="70">
        <v>0</v>
      </c>
      <c r="Y223" s="66">
        <v>0</v>
      </c>
      <c r="Z223" s="66">
        <v>0</v>
      </c>
      <c r="AA223" s="66">
        <v>0.14947108756658151</v>
      </c>
      <c r="AB223" s="66">
        <v>18.17218728289739</v>
      </c>
      <c r="AC223" s="66">
        <v>0.62438636309300199</v>
      </c>
      <c r="AD223" s="66">
        <v>0.35438094811173032</v>
      </c>
      <c r="AE223" s="70">
        <v>0</v>
      </c>
      <c r="AF223" s="66">
        <v>0</v>
      </c>
      <c r="AG223" s="66">
        <v>0</v>
      </c>
      <c r="AH223" s="66">
        <v>6.1122954385209899E-2</v>
      </c>
      <c r="AI223" s="66">
        <v>17.078395483044829</v>
      </c>
      <c r="AJ223" s="66">
        <v>0.18254270613434381</v>
      </c>
      <c r="AK223" s="66">
        <v>0.14491639071517409</v>
      </c>
      <c r="AL223" s="70">
        <v>0</v>
      </c>
      <c r="AM223" s="66">
        <v>0</v>
      </c>
      <c r="AN223" s="66">
        <v>0</v>
      </c>
      <c r="AO223" s="66">
        <v>0.45501898537901858</v>
      </c>
      <c r="AP223" s="66">
        <v>25.036272917702441</v>
      </c>
      <c r="AQ223" s="71">
        <v>2.1292346392387258</v>
      </c>
      <c r="AR223" s="71">
        <v>1.0788043498755291</v>
      </c>
      <c r="AS223" s="111"/>
      <c r="AT223">
        <f t="shared" si="7"/>
        <v>0.57821917808218126</v>
      </c>
      <c r="AU223" t="str">
        <f t="shared" si="6"/>
        <v>Uganda</v>
      </c>
    </row>
    <row r="224" spans="1:47">
      <c r="A224">
        <v>432</v>
      </c>
      <c r="B224" s="72" t="s">
        <v>484</v>
      </c>
      <c r="C224" s="73" t="s">
        <v>203</v>
      </c>
      <c r="D224" s="73">
        <v>2015</v>
      </c>
      <c r="E224" s="59">
        <v>95.937842362963764</v>
      </c>
      <c r="F224" s="60">
        <v>2.5199684835089959</v>
      </c>
      <c r="G224" s="60">
        <v>1.5410235766041691</v>
      </c>
      <c r="H224" s="61">
        <v>1.1655769230771999E-3</v>
      </c>
      <c r="I224" s="62">
        <v>8.511824905872345E-2</v>
      </c>
      <c r="J224" s="63">
        <v>-3.7974999286234379E-3</v>
      </c>
      <c r="K224" s="64">
        <v>92.618676362269824</v>
      </c>
      <c r="L224" s="60">
        <v>3.70582055891246</v>
      </c>
      <c r="M224" s="65">
        <v>3.671656924971558</v>
      </c>
      <c r="N224" s="61">
        <v>3.8461538461546999E-3</v>
      </c>
      <c r="O224" s="63">
        <v>0.19536198675632477</v>
      </c>
      <c r="P224" s="63">
        <v>-1.1538461782038212E-2</v>
      </c>
      <c r="Q224" s="74">
        <v>97.38109260546365</v>
      </c>
      <c r="R224" s="66">
        <v>2.00433253910693</v>
      </c>
      <c r="S224" s="66">
        <v>0.61457485542942436</v>
      </c>
      <c r="T224" s="67">
        <v>0</v>
      </c>
      <c r="U224" s="68">
        <v>1.9116776064038277E-2</v>
      </c>
      <c r="V224" s="68">
        <v>0</v>
      </c>
      <c r="W224" s="69"/>
      <c r="X224" s="70">
        <v>0</v>
      </c>
      <c r="Y224" s="66">
        <v>0</v>
      </c>
      <c r="Z224" s="66">
        <v>0</v>
      </c>
      <c r="AA224" s="66">
        <v>0</v>
      </c>
      <c r="AB224" s="66">
        <v>42.448654456911179</v>
      </c>
      <c r="AC224" s="66">
        <v>0.83850189867134672</v>
      </c>
      <c r="AD224" s="66">
        <v>52.650686007381232</v>
      </c>
      <c r="AE224" s="70">
        <v>0</v>
      </c>
      <c r="AF224" s="66">
        <v>0</v>
      </c>
      <c r="AG224" s="66">
        <v>0</v>
      </c>
      <c r="AH224" s="66">
        <v>0</v>
      </c>
      <c r="AI224" s="66">
        <v>87.223528860614934</v>
      </c>
      <c r="AJ224" s="66">
        <v>2.7303090641854588</v>
      </c>
      <c r="AK224" s="66">
        <v>2.6648384374694278</v>
      </c>
      <c r="AL224" s="70">
        <v>0</v>
      </c>
      <c r="AM224" s="66">
        <v>0</v>
      </c>
      <c r="AN224" s="66">
        <v>0</v>
      </c>
      <c r="AO224" s="66">
        <v>0</v>
      </c>
      <c r="AP224" s="66">
        <v>22.596703261587439</v>
      </c>
      <c r="AQ224" s="71">
        <v>0</v>
      </c>
      <c r="AR224" s="71">
        <v>74.784389343876214</v>
      </c>
      <c r="AS224" s="111"/>
      <c r="AT224">
        <f t="shared" si="7"/>
        <v>1</v>
      </c>
      <c r="AU224" t="str">
        <f t="shared" si="6"/>
        <v>Ukraine</v>
      </c>
    </row>
    <row r="225" spans="1:47">
      <c r="A225">
        <v>434</v>
      </c>
      <c r="B225" s="72" t="s">
        <v>485</v>
      </c>
      <c r="C225" s="73" t="s">
        <v>204</v>
      </c>
      <c r="D225" s="73">
        <v>2015</v>
      </c>
      <c r="E225" s="59">
        <v>99.977200523048324</v>
      </c>
      <c r="F225" s="60">
        <v>2.2799476951686201E-2</v>
      </c>
      <c r="G225" s="60">
        <v>0</v>
      </c>
      <c r="H225" s="61">
        <v>0</v>
      </c>
      <c r="I225" s="62">
        <v>1.053912055795081E-4</v>
      </c>
      <c r="J225" s="63">
        <v>0</v>
      </c>
      <c r="K225" s="64">
        <v>99.951709658068381</v>
      </c>
      <c r="L225" s="60">
        <v>4.8290341931613703E-2</v>
      </c>
      <c r="M225" s="65">
        <v>0</v>
      </c>
      <c r="N225" s="61">
        <v>0</v>
      </c>
      <c r="O225" s="63">
        <v>0</v>
      </c>
      <c r="P225" s="63">
        <v>0</v>
      </c>
      <c r="Q225" s="74">
        <v>99.98150924537731</v>
      </c>
      <c r="R225" s="66">
        <v>1.8490754622688701E-2</v>
      </c>
      <c r="S225" s="66">
        <v>0</v>
      </c>
      <c r="T225" s="67">
        <v>0</v>
      </c>
      <c r="U225" s="68">
        <v>0</v>
      </c>
      <c r="V225" s="68">
        <v>0</v>
      </c>
      <c r="W225" s="69"/>
      <c r="X225" s="70">
        <v>93.370096201463113</v>
      </c>
      <c r="Y225" s="66">
        <v>5.8446811393854814</v>
      </c>
      <c r="Z225" s="66">
        <v>0</v>
      </c>
      <c r="AA225" s="66">
        <v>87.525415062077627</v>
      </c>
      <c r="AB225" s="66">
        <v>2.088611498908544</v>
      </c>
      <c r="AC225" s="66">
        <v>9.6007507798624196</v>
      </c>
      <c r="AD225" s="66">
        <v>88.287838244277367</v>
      </c>
      <c r="AE225" s="70">
        <v>81.078931851974943</v>
      </c>
      <c r="AF225" s="66">
        <v>18.326145965806841</v>
      </c>
      <c r="AG225" s="66">
        <v>0</v>
      </c>
      <c r="AH225" s="66">
        <v>62.752785886168112</v>
      </c>
      <c r="AI225" s="66">
        <v>5.8671653569286182</v>
      </c>
      <c r="AJ225" s="66">
        <v>30.785126574685059</v>
      </c>
      <c r="AK225" s="66">
        <v>63.299417726454699</v>
      </c>
      <c r="AL225" s="70">
        <v>95.448290605385139</v>
      </c>
      <c r="AM225" s="66">
        <v>3.7343093703148438</v>
      </c>
      <c r="AN225" s="66">
        <v>0</v>
      </c>
      <c r="AO225" s="66">
        <v>91.713981235070293</v>
      </c>
      <c r="AP225" s="66">
        <v>1.449731884057974</v>
      </c>
      <c r="AQ225" s="71">
        <v>6.0188868565717151</v>
      </c>
      <c r="AR225" s="71">
        <v>92.512890504747631</v>
      </c>
      <c r="AS225" s="111"/>
      <c r="AT225">
        <f t="shared" si="7"/>
        <v>8.6356535323726599E-3</v>
      </c>
      <c r="AU225" t="str">
        <f t="shared" si="6"/>
        <v>United Arab Emirates</v>
      </c>
    </row>
    <row r="226" spans="1:47">
      <c r="A226">
        <v>436</v>
      </c>
      <c r="B226" s="72" t="s">
        <v>486</v>
      </c>
      <c r="C226" s="73" t="s">
        <v>205</v>
      </c>
      <c r="D226" s="73">
        <v>2015</v>
      </c>
      <c r="E226" s="59">
        <v>99.112709468405228</v>
      </c>
      <c r="F226" s="60">
        <v>0.71391053159478435</v>
      </c>
      <c r="G226" s="60">
        <v>0.17337999999999679</v>
      </c>
      <c r="H226" s="61">
        <v>0</v>
      </c>
      <c r="I226" s="62">
        <v>-1.1517641833052039E-3</v>
      </c>
      <c r="J226" s="63">
        <v>0</v>
      </c>
      <c r="K226" s="64">
        <v>99.474774322968898</v>
      </c>
      <c r="L226" s="60">
        <v>0.30022567703109321</v>
      </c>
      <c r="M226" s="65">
        <v>0.2250000000000085</v>
      </c>
      <c r="N226" s="61">
        <v>0</v>
      </c>
      <c r="O226" s="63">
        <v>0</v>
      </c>
      <c r="P226" s="63">
        <v>0</v>
      </c>
      <c r="Q226" s="74">
        <v>99.03639669007022</v>
      </c>
      <c r="R226" s="66">
        <v>0.8011033099297894</v>
      </c>
      <c r="S226" s="66">
        <v>0.16249999999999429</v>
      </c>
      <c r="T226" s="67">
        <v>0</v>
      </c>
      <c r="U226" s="68">
        <v>0</v>
      </c>
      <c r="V226" s="68">
        <v>0</v>
      </c>
      <c r="W226" s="69"/>
      <c r="X226" s="70">
        <v>97.646204178407984</v>
      </c>
      <c r="Y226" s="66">
        <v>1.4333969599151659</v>
      </c>
      <c r="Z226" s="66">
        <v>0</v>
      </c>
      <c r="AA226" s="66">
        <v>96.212807218492813</v>
      </c>
      <c r="AB226" s="66">
        <v>2.8667939198303309</v>
      </c>
      <c r="AC226" s="66">
        <v>0</v>
      </c>
      <c r="AD226" s="66">
        <v>96.245915548574885</v>
      </c>
      <c r="AE226" s="70">
        <v>91.561825872077023</v>
      </c>
      <c r="AF226" s="66">
        <v>7.8841536565988717</v>
      </c>
      <c r="AG226" s="66">
        <v>0</v>
      </c>
      <c r="AH226" s="66">
        <v>83.677672215478154</v>
      </c>
      <c r="AI226" s="66">
        <v>0.2243229689067287</v>
      </c>
      <c r="AJ226" s="66">
        <v>15.543984344291021</v>
      </c>
      <c r="AK226" s="66">
        <v>83.70646700977116</v>
      </c>
      <c r="AL226" s="70">
        <v>98.921785849033185</v>
      </c>
      <c r="AM226" s="66">
        <v>8.0598044132394395E-2</v>
      </c>
      <c r="AN226" s="66">
        <v>0</v>
      </c>
      <c r="AO226" s="66">
        <v>98.841187804900784</v>
      </c>
      <c r="AP226" s="66">
        <v>0.16119608826478879</v>
      </c>
      <c r="AQ226" s="71">
        <v>0</v>
      </c>
      <c r="AR226" s="71">
        <v>98.875200601805432</v>
      </c>
      <c r="AS226" s="111"/>
      <c r="AT226">
        <f t="shared" si="7"/>
        <v>3.4399724802204861E-4</v>
      </c>
      <c r="AU226" t="str">
        <f t="shared" si="6"/>
        <v>United Kingdom</v>
      </c>
    </row>
    <row r="227" spans="1:47" s="7" customFormat="1" ht="14.7" thickBot="1">
      <c r="A227">
        <v>438</v>
      </c>
      <c r="B227" s="73" t="s">
        <v>487</v>
      </c>
      <c r="C227" s="73" t="s">
        <v>206</v>
      </c>
      <c r="D227" s="73">
        <v>2015</v>
      </c>
      <c r="E227" s="59">
        <v>23.534065968128651</v>
      </c>
      <c r="F227" s="60">
        <v>13.32421451190601</v>
      </c>
      <c r="G227" s="60">
        <v>51.880794100756567</v>
      </c>
      <c r="H227" s="61">
        <v>11.26092541920876</v>
      </c>
      <c r="I227" s="62">
        <v>1.134770393371582</v>
      </c>
      <c r="J227" s="63">
        <v>0.11198750138282776</v>
      </c>
      <c r="K227" s="64">
        <v>17.217401563327289</v>
      </c>
      <c r="L227" s="60">
        <v>3.920254254239095</v>
      </c>
      <c r="M227" s="65">
        <v>63.201886933862973</v>
      </c>
      <c r="N227" s="61">
        <v>15.660457248570649</v>
      </c>
      <c r="O227" s="63">
        <v>0.8096613883972168</v>
      </c>
      <c r="P227" s="63">
        <v>0.26959308981895447</v>
      </c>
      <c r="Q227" s="74">
        <v>37.201786544349062</v>
      </c>
      <c r="R227" s="66">
        <v>33.672090047920832</v>
      </c>
      <c r="S227" s="66">
        <v>27.384711430489158</v>
      </c>
      <c r="T227" s="67">
        <v>1.741411977240958</v>
      </c>
      <c r="U227" s="68">
        <v>1.711625337600708</v>
      </c>
      <c r="V227" s="68">
        <v>-5.008411779999733E-2</v>
      </c>
      <c r="W227" s="69"/>
      <c r="X227" s="70">
        <v>0</v>
      </c>
      <c r="Y227" s="66">
        <v>0</v>
      </c>
      <c r="Z227" s="66">
        <v>0</v>
      </c>
      <c r="AA227" s="66">
        <v>0.41978910335999969</v>
      </c>
      <c r="AB227" s="66">
        <v>21.165757062409138</v>
      </c>
      <c r="AC227" s="66">
        <v>1.8074684202686171</v>
      </c>
      <c r="AD227" s="66">
        <v>0.56084048545090137</v>
      </c>
      <c r="AE227" s="70">
        <v>0</v>
      </c>
      <c r="AF227" s="66">
        <v>0</v>
      </c>
      <c r="AG227" s="66">
        <v>0</v>
      </c>
      <c r="AH227" s="66">
        <v>0.1471968798084593</v>
      </c>
      <c r="AI227" s="66">
        <v>16.531749944306</v>
      </c>
      <c r="AJ227" s="66">
        <v>0.48899580097391088</v>
      </c>
      <c r="AK227" s="66">
        <v>0.19665581804737381</v>
      </c>
      <c r="AL227" s="70">
        <v>0</v>
      </c>
      <c r="AM227" s="66">
        <v>0</v>
      </c>
      <c r="AN227" s="66">
        <v>0</v>
      </c>
      <c r="AO227" s="66">
        <v>0.88657147970805861</v>
      </c>
      <c r="AP227" s="66">
        <v>31.99816786037028</v>
      </c>
      <c r="AQ227" s="71">
        <v>4.019154449231868</v>
      </c>
      <c r="AR227" s="71">
        <v>1.184464234746905</v>
      </c>
      <c r="AS227" s="111"/>
      <c r="AT227">
        <f t="shared" si="7"/>
        <v>0.25149999999999995</v>
      </c>
      <c r="AU227" t="str">
        <f t="shared" si="6"/>
        <v>United Republic of Tanzania</v>
      </c>
    </row>
    <row r="228" spans="1:47" ht="14.7" thickBot="1">
      <c r="A228">
        <v>440</v>
      </c>
      <c r="B228" s="73" t="s">
        <v>488</v>
      </c>
      <c r="C228" s="116" t="s">
        <v>207</v>
      </c>
      <c r="D228" s="119">
        <v>2015</v>
      </c>
      <c r="E228" s="121">
        <v>97.59876782168476</v>
      </c>
      <c r="F228" s="123">
        <v>0</v>
      </c>
      <c r="G228" s="123">
        <v>2.4012321783152402</v>
      </c>
      <c r="H228" s="125">
        <v>0</v>
      </c>
      <c r="I228" s="127">
        <v>7.9917855560779572E-2</v>
      </c>
      <c r="J228" s="75">
        <v>0</v>
      </c>
      <c r="K228" s="129">
        <v>0</v>
      </c>
      <c r="L228" s="123">
        <v>0</v>
      </c>
      <c r="M228" s="131">
        <v>0</v>
      </c>
      <c r="N228" s="125">
        <v>0</v>
      </c>
      <c r="O228" s="75">
        <v>0</v>
      </c>
      <c r="P228" s="75">
        <v>0</v>
      </c>
      <c r="Q228" s="133">
        <v>0</v>
      </c>
      <c r="R228" s="135">
        <v>0</v>
      </c>
      <c r="S228" s="135">
        <v>0</v>
      </c>
      <c r="T228" s="137">
        <v>0</v>
      </c>
      <c r="U228" s="139">
        <v>0</v>
      </c>
      <c r="V228" s="140">
        <v>0</v>
      </c>
      <c r="W228" s="141"/>
      <c r="X228" s="142">
        <v>0</v>
      </c>
      <c r="Y228" s="135">
        <v>0</v>
      </c>
      <c r="Z228" s="135">
        <v>0</v>
      </c>
      <c r="AA228" s="135">
        <v>0</v>
      </c>
      <c r="AB228" s="135">
        <v>0</v>
      </c>
      <c r="AC228" s="135">
        <v>49.327364805638581</v>
      </c>
      <c r="AD228" s="135">
        <v>48.271403016046179</v>
      </c>
      <c r="AE228" s="145">
        <v>0</v>
      </c>
      <c r="AF228" s="135">
        <v>0</v>
      </c>
      <c r="AG228" s="135">
        <v>0</v>
      </c>
      <c r="AH228" s="135">
        <v>0</v>
      </c>
      <c r="AI228" s="135">
        <v>0</v>
      </c>
      <c r="AJ228" s="135">
        <v>0</v>
      </c>
      <c r="AK228" s="135">
        <v>0</v>
      </c>
      <c r="AL228" s="145">
        <v>0</v>
      </c>
      <c r="AM228" s="135">
        <v>0</v>
      </c>
      <c r="AN228" s="135">
        <v>0</v>
      </c>
      <c r="AO228" s="135">
        <v>0</v>
      </c>
      <c r="AP228" s="135">
        <v>0</v>
      </c>
      <c r="AQ228" s="147">
        <v>0</v>
      </c>
      <c r="AR228" s="149">
        <v>0</v>
      </c>
      <c r="AS228" s="111"/>
      <c r="AT228">
        <f t="shared" si="7"/>
        <v>1</v>
      </c>
      <c r="AU228" t="str">
        <f t="shared" si="6"/>
        <v>United States Virgin Islands</v>
      </c>
    </row>
    <row r="229" spans="1:47">
      <c r="A229">
        <v>442</v>
      </c>
      <c r="B229" s="73" t="s">
        <v>489</v>
      </c>
      <c r="C229" s="118" t="s">
        <v>208</v>
      </c>
      <c r="D229" s="120">
        <v>2015</v>
      </c>
      <c r="E229" s="122">
        <v>99.969550855817459</v>
      </c>
      <c r="F229" s="124">
        <v>0</v>
      </c>
      <c r="G229" s="124">
        <v>3.0449144182545601E-2</v>
      </c>
      <c r="H229" s="126">
        <v>0</v>
      </c>
      <c r="I229" s="128">
        <v>1.8201307102572173E-4</v>
      </c>
      <c r="J229" s="76">
        <v>0</v>
      </c>
      <c r="K229" s="130">
        <v>99.88250772922423</v>
      </c>
      <c r="L229" s="124">
        <v>0</v>
      </c>
      <c r="M229" s="132">
        <v>0.11749227077577019</v>
      </c>
      <c r="N229" s="126">
        <v>0</v>
      </c>
      <c r="O229" s="76">
        <v>0</v>
      </c>
      <c r="P229" s="76">
        <v>0</v>
      </c>
      <c r="Q229" s="134">
        <v>99.989156009108598</v>
      </c>
      <c r="R229" s="136">
        <v>0</v>
      </c>
      <c r="S229" s="136">
        <v>1.08439908914022E-2</v>
      </c>
      <c r="T229" s="138">
        <v>0</v>
      </c>
      <c r="U229" s="77">
        <v>0</v>
      </c>
      <c r="V229" s="78">
        <v>0</v>
      </c>
      <c r="W229" s="141"/>
      <c r="X229" s="144">
        <v>89.499473617098388</v>
      </c>
      <c r="Y229" s="136">
        <v>8.9971747227525611</v>
      </c>
      <c r="Z229" s="136">
        <v>0</v>
      </c>
      <c r="AA229" s="136">
        <v>80.502298894345827</v>
      </c>
      <c r="AB229" s="136">
        <v>0</v>
      </c>
      <c r="AC229" s="136">
        <v>17.99434944550509</v>
      </c>
      <c r="AD229" s="136">
        <v>81.975201410312337</v>
      </c>
      <c r="AE229" s="146">
        <v>0</v>
      </c>
      <c r="AF229" s="136">
        <v>0</v>
      </c>
      <c r="AG229" s="136">
        <v>0</v>
      </c>
      <c r="AH229" s="136">
        <v>30.44201064245128</v>
      </c>
      <c r="AI229" s="136">
        <v>0</v>
      </c>
      <c r="AJ229" s="136">
        <v>68.88351778702409</v>
      </c>
      <c r="AK229" s="136">
        <v>30.998989942200129</v>
      </c>
      <c r="AL229" s="146">
        <v>95.043790219319803</v>
      </c>
      <c r="AM229" s="136">
        <v>3.266165364272438</v>
      </c>
      <c r="AN229" s="136">
        <v>0</v>
      </c>
      <c r="AO229" s="136">
        <v>91.777624855047364</v>
      </c>
      <c r="AP229" s="136">
        <v>0</v>
      </c>
      <c r="AQ229" s="148">
        <v>6.5323307285448617</v>
      </c>
      <c r="AR229" s="151">
        <v>93.45682528056372</v>
      </c>
      <c r="AS229" s="111"/>
      <c r="AT229">
        <f t="shared" si="7"/>
        <v>1.7967659616890203E-2</v>
      </c>
      <c r="AU229" t="str">
        <f t="shared" si="6"/>
        <v>United States of America</v>
      </c>
    </row>
    <row r="230" spans="1:47">
      <c r="A230">
        <v>444</v>
      </c>
      <c r="B230" s="73" t="s">
        <v>490</v>
      </c>
      <c r="C230" s="117" t="s">
        <v>209</v>
      </c>
      <c r="D230" s="73">
        <v>2015</v>
      </c>
      <c r="E230" s="59">
        <v>95.674910895054467</v>
      </c>
      <c r="F230" s="60">
        <v>3.0022944842216721</v>
      </c>
      <c r="G230" s="60">
        <v>0.77856942029793474</v>
      </c>
      <c r="H230" s="61">
        <v>0.54422520042593403</v>
      </c>
      <c r="I230" s="62">
        <v>0.10300644487142563</v>
      </c>
      <c r="J230" s="63">
        <v>-6.9867603480815887E-2</v>
      </c>
      <c r="K230" s="64">
        <v>94.855369146132574</v>
      </c>
      <c r="L230" s="60">
        <v>2.0946084448102411</v>
      </c>
      <c r="M230" s="65">
        <v>2.4884007376496129</v>
      </c>
      <c r="N230" s="61">
        <v>0.56162167140757902</v>
      </c>
      <c r="O230" s="63">
        <v>0.65348410606384277</v>
      </c>
      <c r="P230" s="63">
        <v>-0.30804800987243652</v>
      </c>
      <c r="Q230" s="74">
        <v>95.715229759201264</v>
      </c>
      <c r="R230" s="66">
        <v>3.0469497689086462</v>
      </c>
      <c r="S230" s="66">
        <v>0.69445112286045685</v>
      </c>
      <c r="T230" s="67">
        <v>0.54336934902963208</v>
      </c>
      <c r="U230" s="68">
        <v>5.3275894373655319E-2</v>
      </c>
      <c r="V230" s="90">
        <v>-4.919162392616272E-2</v>
      </c>
      <c r="W230" s="141"/>
      <c r="X230" s="143">
        <v>63.612982422567498</v>
      </c>
      <c r="Y230" s="66">
        <v>18.623516604860061</v>
      </c>
      <c r="Z230" s="66">
        <v>0</v>
      </c>
      <c r="AA230" s="66">
        <v>44.98946581770744</v>
      </c>
      <c r="AB230" s="66">
        <v>2.1680336930769708</v>
      </c>
      <c r="AC230" s="66">
        <v>35.078999516643151</v>
      </c>
      <c r="AD230" s="66">
        <v>58.427877685334337</v>
      </c>
      <c r="AE230" s="70">
        <v>0</v>
      </c>
      <c r="AF230" s="66">
        <v>0</v>
      </c>
      <c r="AG230" s="66">
        <v>0</v>
      </c>
      <c r="AH230" s="66">
        <v>2.586364968955885</v>
      </c>
      <c r="AI230" s="66">
        <v>6.897534928239093</v>
      </c>
      <c r="AJ230" s="66">
        <v>84.598918673794927</v>
      </c>
      <c r="AK230" s="66">
        <v>3.3589155440985512</v>
      </c>
      <c r="AL230" s="70">
        <v>64.357780836609265</v>
      </c>
      <c r="AM230" s="66">
        <v>17.301751996251308</v>
      </c>
      <c r="AN230" s="66">
        <v>0</v>
      </c>
      <c r="AO230" s="66">
        <v>47.056028840357953</v>
      </c>
      <c r="AP230" s="66">
        <v>1.937564726409106</v>
      </c>
      <c r="AQ230" s="71">
        <v>32.665939266093517</v>
      </c>
      <c r="AR230" s="150">
        <v>61.11172576669864</v>
      </c>
      <c r="AS230" s="111"/>
      <c r="AT230">
        <f t="shared" si="7"/>
        <v>0.22999999999999998</v>
      </c>
      <c r="AU230" t="str">
        <f t="shared" si="6"/>
        <v>Uruguay</v>
      </c>
    </row>
    <row r="231" spans="1:47">
      <c r="A231">
        <v>446</v>
      </c>
      <c r="B231" s="73" t="s">
        <v>491</v>
      </c>
      <c r="C231" s="117" t="s">
        <v>210</v>
      </c>
      <c r="D231" s="73">
        <v>2015</v>
      </c>
      <c r="E231" s="59">
        <v>100</v>
      </c>
      <c r="F231" s="60">
        <v>0</v>
      </c>
      <c r="G231" s="60">
        <v>0</v>
      </c>
      <c r="H231" s="61">
        <v>0</v>
      </c>
      <c r="I231" s="62">
        <v>0.71379697322845459</v>
      </c>
      <c r="J231" s="63">
        <v>-4.1713998652994633E-3</v>
      </c>
      <c r="K231" s="64">
        <v>100</v>
      </c>
      <c r="L231" s="60">
        <v>0</v>
      </c>
      <c r="M231" s="65">
        <v>0</v>
      </c>
      <c r="N231" s="61">
        <v>0</v>
      </c>
      <c r="O231" s="63">
        <v>1.014920711517334</v>
      </c>
      <c r="P231" s="63">
        <v>-6.6666668280959129E-3</v>
      </c>
      <c r="Q231" s="74">
        <v>100</v>
      </c>
      <c r="R231" s="66">
        <v>0</v>
      </c>
      <c r="S231" s="66">
        <v>0</v>
      </c>
      <c r="T231" s="67">
        <v>0</v>
      </c>
      <c r="U231" s="68">
        <v>0.21040098369121552</v>
      </c>
      <c r="V231" s="90">
        <v>0</v>
      </c>
      <c r="W231" s="141"/>
      <c r="X231" s="143">
        <v>0</v>
      </c>
      <c r="Y231" s="66">
        <v>0</v>
      </c>
      <c r="Z231" s="66">
        <v>0</v>
      </c>
      <c r="AA231" s="66">
        <v>0</v>
      </c>
      <c r="AB231" s="66">
        <v>83.177178790733336</v>
      </c>
      <c r="AC231" s="66">
        <v>0.3909200000000001</v>
      </c>
      <c r="AD231" s="66">
        <v>16.43190120926667</v>
      </c>
      <c r="AE231" s="70">
        <v>0</v>
      </c>
      <c r="AF231" s="66">
        <v>0</v>
      </c>
      <c r="AG231" s="66">
        <v>0</v>
      </c>
      <c r="AH231" s="66">
        <v>0</v>
      </c>
      <c r="AI231" s="66">
        <v>99.52500000000002</v>
      </c>
      <c r="AJ231" s="66">
        <v>0.1</v>
      </c>
      <c r="AK231" s="66">
        <v>0.37499999999998579</v>
      </c>
      <c r="AL231" s="70">
        <v>0</v>
      </c>
      <c r="AM231" s="66">
        <v>0</v>
      </c>
      <c r="AN231" s="66">
        <v>0</v>
      </c>
      <c r="AO231" s="66">
        <v>0</v>
      </c>
      <c r="AP231" s="66">
        <v>54.570177480361139</v>
      </c>
      <c r="AQ231" s="71">
        <v>0.9</v>
      </c>
      <c r="AR231" s="150">
        <v>44.529822519638863</v>
      </c>
      <c r="AS231" s="111"/>
      <c r="AT231">
        <f t="shared" si="7"/>
        <v>1</v>
      </c>
      <c r="AU231" t="str">
        <f t="shared" si="6"/>
        <v>Uzbekistan</v>
      </c>
    </row>
    <row r="232" spans="1:47">
      <c r="A232">
        <v>448</v>
      </c>
      <c r="B232" s="73" t="s">
        <v>492</v>
      </c>
      <c r="C232" s="117" t="s">
        <v>211</v>
      </c>
      <c r="D232" s="73">
        <v>2015</v>
      </c>
      <c r="E232" s="59">
        <v>53.468285543140432</v>
      </c>
      <c r="F232" s="60">
        <v>17.931013014027592</v>
      </c>
      <c r="G232" s="60">
        <v>26.924232631337699</v>
      </c>
      <c r="H232" s="61">
        <v>1.6764688114942881</v>
      </c>
      <c r="I232" s="62">
        <v>3.2021060585975647E-2</v>
      </c>
      <c r="J232" s="63">
        <v>-1.0425341315567493E-2</v>
      </c>
      <c r="K232" s="64">
        <v>50.65129466207884</v>
      </c>
      <c r="L232" s="60">
        <v>13.016879992780471</v>
      </c>
      <c r="M232" s="65">
        <v>34.433899050645131</v>
      </c>
      <c r="N232" s="61">
        <v>1.8979262944955479</v>
      </c>
      <c r="O232" s="63">
        <v>0</v>
      </c>
      <c r="P232" s="63">
        <v>-2.9471335932612419E-2</v>
      </c>
      <c r="Q232" s="74">
        <v>61.432796809436432</v>
      </c>
      <c r="R232" s="66">
        <v>31.824798781999359</v>
      </c>
      <c r="S232" s="66">
        <v>5.6920649289846921</v>
      </c>
      <c r="T232" s="67">
        <v>1.05033947957952</v>
      </c>
      <c r="U232" s="68">
        <v>0</v>
      </c>
      <c r="V232" s="90">
        <v>7.0022635161876678E-2</v>
      </c>
      <c r="W232" s="141"/>
      <c r="X232" s="143">
        <v>0</v>
      </c>
      <c r="Y232" s="66">
        <v>0</v>
      </c>
      <c r="Z232" s="66">
        <v>0</v>
      </c>
      <c r="AA232" s="66">
        <v>0</v>
      </c>
      <c r="AB232" s="66">
        <v>30.236340875364121</v>
      </c>
      <c r="AC232" s="66">
        <v>15.655547992272879</v>
      </c>
      <c r="AD232" s="66">
        <v>7.576396675503422</v>
      </c>
      <c r="AE232" s="70">
        <v>0</v>
      </c>
      <c r="AF232" s="66">
        <v>0</v>
      </c>
      <c r="AG232" s="66">
        <v>0</v>
      </c>
      <c r="AH232" s="66">
        <v>0</v>
      </c>
      <c r="AI232" s="66">
        <v>41.022255304547592</v>
      </c>
      <c r="AJ232" s="66">
        <v>2.704874182189613</v>
      </c>
      <c r="AK232" s="66">
        <v>6.924165175341634</v>
      </c>
      <c r="AL232" s="70">
        <v>0</v>
      </c>
      <c r="AM232" s="66">
        <v>0</v>
      </c>
      <c r="AN232" s="66">
        <v>0</v>
      </c>
      <c r="AO232" s="66">
        <v>0</v>
      </c>
      <c r="AP232" s="66">
        <v>5.7598666546415993</v>
      </c>
      <c r="AQ232" s="71">
        <v>46.375513629277982</v>
      </c>
      <c r="AR232" s="150">
        <v>9.2974165255168408</v>
      </c>
      <c r="AS232" s="111"/>
      <c r="AT232">
        <f t="shared" si="7"/>
        <v>1</v>
      </c>
      <c r="AU232" t="str">
        <f t="shared" si="6"/>
        <v>Vanuatu</v>
      </c>
    </row>
    <row r="233" spans="1:47">
      <c r="A233">
        <v>450</v>
      </c>
      <c r="B233" s="73" t="s">
        <v>493</v>
      </c>
      <c r="C233" s="117" t="s">
        <v>212</v>
      </c>
      <c r="D233" s="73">
        <v>2015</v>
      </c>
      <c r="E233" s="59">
        <v>94.934389572899704</v>
      </c>
      <c r="F233" s="60">
        <v>0</v>
      </c>
      <c r="G233" s="60">
        <v>0.20365624067523039</v>
      </c>
      <c r="H233" s="61">
        <v>4.861954186425069</v>
      </c>
      <c r="I233" s="62">
        <v>0.51017332077026367</v>
      </c>
      <c r="J233" s="63">
        <v>-0.29984092712402344</v>
      </c>
      <c r="K233" s="64">
        <v>72.261130335649341</v>
      </c>
      <c r="L233" s="60">
        <v>0</v>
      </c>
      <c r="M233" s="65">
        <v>1.849738789057479</v>
      </c>
      <c r="N233" s="61">
        <v>25.88913087529318</v>
      </c>
      <c r="O233" s="63">
        <v>1.318687915802002</v>
      </c>
      <c r="P233" s="63">
        <v>-1.0072252750396729</v>
      </c>
      <c r="Q233" s="74">
        <v>97.739565257832012</v>
      </c>
      <c r="R233" s="66">
        <v>0</v>
      </c>
      <c r="S233" s="66">
        <v>0</v>
      </c>
      <c r="T233" s="67">
        <v>2.2604347421679849</v>
      </c>
      <c r="U233" s="68">
        <v>0.38021320104598999</v>
      </c>
      <c r="V233" s="90">
        <v>-0.18511305749416351</v>
      </c>
      <c r="W233" s="141"/>
      <c r="X233" s="143">
        <v>19.113528110726591</v>
      </c>
      <c r="Y233" s="66">
        <v>12.025111441795771</v>
      </c>
      <c r="Z233" s="66">
        <v>0</v>
      </c>
      <c r="AA233" s="66">
        <v>7.0884166689308161</v>
      </c>
      <c r="AB233" s="66">
        <v>1.611155941444196</v>
      </c>
      <c r="AC233" s="66">
        <v>22.439066942147349</v>
      </c>
      <c r="AD233" s="66">
        <v>70.884166689308159</v>
      </c>
      <c r="AE233" s="70">
        <v>0</v>
      </c>
      <c r="AF233" s="66">
        <v>0</v>
      </c>
      <c r="AG233" s="66">
        <v>0</v>
      </c>
      <c r="AH233" s="66">
        <v>0.92926287175134803</v>
      </c>
      <c r="AI233" s="66">
        <v>6.6334922914390972</v>
      </c>
      <c r="AJ233" s="66">
        <v>56.335009326696763</v>
      </c>
      <c r="AK233" s="66">
        <v>9.2926287175134803</v>
      </c>
      <c r="AL233" s="70">
        <v>17.468030401695</v>
      </c>
      <c r="AM233" s="66">
        <v>9.6175923448897489</v>
      </c>
      <c r="AN233" s="66">
        <v>0</v>
      </c>
      <c r="AO233" s="66">
        <v>7.8504380568052516</v>
      </c>
      <c r="AP233" s="66">
        <v>0.98978361631277778</v>
      </c>
      <c r="AQ233" s="71">
        <v>18.24540107346672</v>
      </c>
      <c r="AR233" s="150">
        <v>78.504380568052511</v>
      </c>
      <c r="AS233" s="111"/>
      <c r="AT233">
        <f t="shared" si="7"/>
        <v>0.89999999999999991</v>
      </c>
      <c r="AU233" t="str">
        <f t="shared" si="6"/>
        <v>Venezuela (Bolivarian Republic of)</v>
      </c>
    </row>
    <row r="234" spans="1:47">
      <c r="A234">
        <v>452</v>
      </c>
      <c r="B234" s="73" t="s">
        <v>494</v>
      </c>
      <c r="C234" s="117" t="s">
        <v>213</v>
      </c>
      <c r="D234" s="73">
        <v>2015</v>
      </c>
      <c r="E234" s="59">
        <v>78.237447811170284</v>
      </c>
      <c r="F234" s="60">
        <v>4.1309134249018928</v>
      </c>
      <c r="G234" s="60">
        <v>13.77864185458581</v>
      </c>
      <c r="H234" s="61">
        <v>3.8529969093420049</v>
      </c>
      <c r="I234" s="62">
        <v>1.655580997467041</v>
      </c>
      <c r="J234" s="63">
        <v>-0.92530691623687744</v>
      </c>
      <c r="K234" s="64">
        <v>71.788264299111418</v>
      </c>
      <c r="L234" s="60">
        <v>4.1567180122199554</v>
      </c>
      <c r="M234" s="65">
        <v>19.050970644022531</v>
      </c>
      <c r="N234" s="61">
        <v>5.0040470446460859</v>
      </c>
      <c r="O234" s="63">
        <v>1.8437111377716064</v>
      </c>
      <c r="P234" s="63">
        <v>-1.1201337575912476</v>
      </c>
      <c r="Q234" s="74">
        <v>90.986262429849575</v>
      </c>
      <c r="R234" s="66">
        <v>4.0799026419997864</v>
      </c>
      <c r="S234" s="66">
        <v>3.3562461792926119</v>
      </c>
      <c r="T234" s="67">
        <v>1.577588748858034</v>
      </c>
      <c r="U234" s="68">
        <v>0.58777821063995361</v>
      </c>
      <c r="V234" s="90">
        <v>-0.23441207408905029</v>
      </c>
      <c r="W234" s="141"/>
      <c r="X234" s="143">
        <v>0</v>
      </c>
      <c r="Y234" s="66">
        <v>0</v>
      </c>
      <c r="Z234" s="66">
        <v>0</v>
      </c>
      <c r="AA234" s="66">
        <v>0</v>
      </c>
      <c r="AB234" s="66">
        <v>13.41076220519099</v>
      </c>
      <c r="AC234" s="66">
        <v>63.522023326257262</v>
      </c>
      <c r="AD234" s="66">
        <v>1.3046622797220351</v>
      </c>
      <c r="AE234" s="70">
        <v>0</v>
      </c>
      <c r="AF234" s="66">
        <v>0</v>
      </c>
      <c r="AG234" s="66">
        <v>0</v>
      </c>
      <c r="AH234" s="66">
        <v>0</v>
      </c>
      <c r="AI234" s="66">
        <v>20.01813254552777</v>
      </c>
      <c r="AJ234" s="66">
        <v>51.022066076041853</v>
      </c>
      <c r="AK234" s="66">
        <v>0.74806567754179587</v>
      </c>
      <c r="AL234" s="70">
        <v>0</v>
      </c>
      <c r="AM234" s="66">
        <v>0</v>
      </c>
      <c r="AN234" s="66">
        <v>0</v>
      </c>
      <c r="AO234" s="66">
        <v>0</v>
      </c>
      <c r="AP234" s="66">
        <v>0.15864106857845839</v>
      </c>
      <c r="AQ234" s="71">
        <v>88.411575923376091</v>
      </c>
      <c r="AR234" s="150">
        <v>2.4160454378950269</v>
      </c>
      <c r="AS234" s="111"/>
      <c r="AT234">
        <f t="shared" si="7"/>
        <v>1</v>
      </c>
      <c r="AU234" t="str">
        <f t="shared" si="6"/>
        <v>Viet Nam</v>
      </c>
    </row>
    <row r="235" spans="1:47">
      <c r="A235">
        <v>454</v>
      </c>
      <c r="B235" s="73" t="s">
        <v>495</v>
      </c>
      <c r="C235" s="117" t="s">
        <v>214</v>
      </c>
      <c r="D235" s="73">
        <v>2015</v>
      </c>
      <c r="E235" s="59">
        <v>99.121977982016688</v>
      </c>
      <c r="F235" s="60">
        <v>0</v>
      </c>
      <c r="G235" s="60">
        <v>0</v>
      </c>
      <c r="H235" s="61">
        <v>0.87802201798319857</v>
      </c>
      <c r="I235" s="62">
        <v>0</v>
      </c>
      <c r="J235" s="63">
        <v>0</v>
      </c>
      <c r="K235" s="64">
        <v>99.121977982016688</v>
      </c>
      <c r="L235" s="60">
        <v>0</v>
      </c>
      <c r="M235" s="65">
        <v>0</v>
      </c>
      <c r="N235" s="61">
        <v>0.87802201798319857</v>
      </c>
      <c r="O235" s="63">
        <v>0</v>
      </c>
      <c r="P235" s="63">
        <v>0</v>
      </c>
      <c r="Q235" s="74">
        <v>0</v>
      </c>
      <c r="R235" s="66">
        <v>0</v>
      </c>
      <c r="S235" s="66">
        <v>0</v>
      </c>
      <c r="T235" s="67">
        <v>0</v>
      </c>
      <c r="U235" s="68">
        <v>0</v>
      </c>
      <c r="V235" s="90">
        <v>0</v>
      </c>
      <c r="W235" s="141"/>
      <c r="X235" s="143">
        <v>0</v>
      </c>
      <c r="Y235" s="66">
        <v>0</v>
      </c>
      <c r="Z235" s="66">
        <v>0</v>
      </c>
      <c r="AA235" s="66">
        <v>0</v>
      </c>
      <c r="AB235" s="66">
        <v>0</v>
      </c>
      <c r="AC235" s="66">
        <v>0</v>
      </c>
      <c r="AD235" s="66">
        <v>0</v>
      </c>
      <c r="AE235" s="70">
        <v>0</v>
      </c>
      <c r="AF235" s="66">
        <v>0</v>
      </c>
      <c r="AG235" s="66">
        <v>0</v>
      </c>
      <c r="AH235" s="66">
        <v>0</v>
      </c>
      <c r="AI235" s="66">
        <v>0</v>
      </c>
      <c r="AJ235" s="66">
        <v>0</v>
      </c>
      <c r="AK235" s="66">
        <v>0</v>
      </c>
      <c r="AL235" s="70">
        <v>0</v>
      </c>
      <c r="AM235" s="66">
        <v>0</v>
      </c>
      <c r="AN235" s="66">
        <v>0</v>
      </c>
      <c r="AO235" s="66">
        <v>0</v>
      </c>
      <c r="AP235" s="66">
        <v>0</v>
      </c>
      <c r="AQ235" s="71">
        <v>0</v>
      </c>
      <c r="AR235" s="150">
        <v>0</v>
      </c>
      <c r="AS235" s="111"/>
      <c r="AT235" t="e">
        <f t="shared" si="7"/>
        <v>#DIV/0!</v>
      </c>
      <c r="AU235" t="str">
        <f t="shared" si="6"/>
        <v>Wallis and Futuna Islands</v>
      </c>
    </row>
    <row r="236" spans="1:47">
      <c r="A236">
        <v>456</v>
      </c>
      <c r="B236" s="73" t="s">
        <v>496</v>
      </c>
      <c r="C236" s="117" t="s">
        <v>215</v>
      </c>
      <c r="D236" s="73">
        <v>2015</v>
      </c>
      <c r="E236" s="59">
        <v>95.9516487114754</v>
      </c>
      <c r="F236" s="60">
        <v>3.7651083999999981</v>
      </c>
      <c r="G236" s="60">
        <v>7.2699097166649997E-3</v>
      </c>
      <c r="H236" s="61">
        <v>0.27597297880794658</v>
      </c>
      <c r="I236" s="62">
        <v>0.10768032819032669</v>
      </c>
      <c r="J236" s="63">
        <v>-1.5119192190468311E-2</v>
      </c>
      <c r="K236" s="64">
        <v>98.855491803278653</v>
      </c>
      <c r="L236" s="60">
        <v>0</v>
      </c>
      <c r="M236" s="65">
        <v>2.9375746390222401E-2</v>
      </c>
      <c r="N236" s="61">
        <v>1.115132450331124</v>
      </c>
      <c r="O236" s="63">
        <v>0.15172131359577179</v>
      </c>
      <c r="P236" s="63">
        <v>2.0231788977980614E-2</v>
      </c>
      <c r="Q236" s="74">
        <v>94.99666666666667</v>
      </c>
      <c r="R236" s="66">
        <v>5.0033333333333312</v>
      </c>
      <c r="S236" s="66">
        <v>0</v>
      </c>
      <c r="T236" s="67">
        <v>0</v>
      </c>
      <c r="U236" s="68">
        <v>0.10226209461688995</v>
      </c>
      <c r="V236" s="90">
        <v>-2.5496689602732658E-2</v>
      </c>
      <c r="W236" s="141"/>
      <c r="X236" s="143">
        <v>60.264707647367189</v>
      </c>
      <c r="Y236" s="66">
        <v>22.622101619860249</v>
      </c>
      <c r="Z236" s="66">
        <v>0</v>
      </c>
      <c r="AA236" s="66">
        <v>37.642606027506943</v>
      </c>
      <c r="AB236" s="66">
        <v>16.027867563223399</v>
      </c>
      <c r="AC236" s="66">
        <v>29.21633567649711</v>
      </c>
      <c r="AD236" s="66">
        <v>50.707445471754902</v>
      </c>
      <c r="AE236" s="70">
        <v>0</v>
      </c>
      <c r="AF236" s="66">
        <v>0</v>
      </c>
      <c r="AG236" s="66">
        <v>0</v>
      </c>
      <c r="AH236" s="66">
        <v>7.5497604740036222</v>
      </c>
      <c r="AI236" s="66">
        <v>32.048395439642462</v>
      </c>
      <c r="AJ236" s="66">
        <v>56.636996363636172</v>
      </c>
      <c r="AK236" s="66">
        <v>10.170100000000019</v>
      </c>
      <c r="AL236" s="70">
        <v>63.12756450841637</v>
      </c>
      <c r="AM236" s="66">
        <v>15.82501971666667</v>
      </c>
      <c r="AN236" s="66">
        <v>0</v>
      </c>
      <c r="AO236" s="66">
        <v>47.302544791749703</v>
      </c>
      <c r="AP236" s="66">
        <v>11.01484968230276</v>
      </c>
      <c r="AQ236" s="71">
        <v>20.63518975103058</v>
      </c>
      <c r="AR236" s="150">
        <v>63.346627233333329</v>
      </c>
      <c r="AS236" s="111"/>
      <c r="AT236">
        <f t="shared" si="7"/>
        <v>0.25765130391996072</v>
      </c>
      <c r="AU236" t="str">
        <f t="shared" si="6"/>
        <v>West Bank and Gaza Strip</v>
      </c>
    </row>
    <row r="237" spans="1:47">
      <c r="A237">
        <v>458</v>
      </c>
      <c r="B237" s="73" t="s">
        <v>497</v>
      </c>
      <c r="C237" s="117" t="s">
        <v>216</v>
      </c>
      <c r="D237" s="73">
        <v>2015</v>
      </c>
      <c r="E237" s="59">
        <v>0</v>
      </c>
      <c r="F237" s="60">
        <v>0</v>
      </c>
      <c r="G237" s="60">
        <v>0</v>
      </c>
      <c r="H237" s="61">
        <v>0</v>
      </c>
      <c r="I237" s="62">
        <v>0</v>
      </c>
      <c r="J237" s="63">
        <v>0</v>
      </c>
      <c r="K237" s="64">
        <v>0</v>
      </c>
      <c r="L237" s="60">
        <v>0</v>
      </c>
      <c r="M237" s="65">
        <v>0</v>
      </c>
      <c r="N237" s="61">
        <v>0</v>
      </c>
      <c r="O237" s="63">
        <v>0</v>
      </c>
      <c r="P237" s="63">
        <v>0</v>
      </c>
      <c r="Q237" s="74">
        <v>0</v>
      </c>
      <c r="R237" s="66">
        <v>0</v>
      </c>
      <c r="S237" s="66">
        <v>0</v>
      </c>
      <c r="T237" s="67">
        <v>0</v>
      </c>
      <c r="U237" s="68">
        <v>0</v>
      </c>
      <c r="V237" s="90">
        <v>0</v>
      </c>
      <c r="W237" s="141"/>
      <c r="X237" s="143">
        <v>0</v>
      </c>
      <c r="Y237" s="66">
        <v>0</v>
      </c>
      <c r="Z237" s="66">
        <v>0</v>
      </c>
      <c r="AA237" s="66">
        <v>0</v>
      </c>
      <c r="AB237" s="66">
        <v>0</v>
      </c>
      <c r="AC237" s="66">
        <v>0</v>
      </c>
      <c r="AD237" s="66">
        <v>0</v>
      </c>
      <c r="AE237" s="70">
        <v>0</v>
      </c>
      <c r="AF237" s="66">
        <v>0</v>
      </c>
      <c r="AG237" s="66">
        <v>0</v>
      </c>
      <c r="AH237" s="66">
        <v>0</v>
      </c>
      <c r="AI237" s="66">
        <v>0</v>
      </c>
      <c r="AJ237" s="66">
        <v>0</v>
      </c>
      <c r="AK237" s="66">
        <v>0</v>
      </c>
      <c r="AL237" s="70">
        <v>0</v>
      </c>
      <c r="AM237" s="66">
        <v>0</v>
      </c>
      <c r="AN237" s="66">
        <v>0</v>
      </c>
      <c r="AO237" s="66">
        <v>0</v>
      </c>
      <c r="AP237" s="66">
        <v>0</v>
      </c>
      <c r="AQ237" s="71">
        <v>0</v>
      </c>
      <c r="AR237" s="150">
        <v>0</v>
      </c>
      <c r="AS237" s="111"/>
      <c r="AT237" t="e">
        <f t="shared" si="7"/>
        <v>#DIV/0!</v>
      </c>
      <c r="AU237" t="str">
        <f t="shared" si="6"/>
        <v>Western Sahara</v>
      </c>
    </row>
    <row r="238" spans="1:47">
      <c r="A238">
        <v>460</v>
      </c>
      <c r="B238" s="73" t="s">
        <v>498</v>
      </c>
      <c r="C238" s="117" t="s">
        <v>217</v>
      </c>
      <c r="D238" s="73">
        <v>2015</v>
      </c>
      <c r="E238" s="59">
        <v>59.682679894736779</v>
      </c>
      <c r="F238" s="60">
        <v>4.2385367085647303</v>
      </c>
      <c r="G238" s="60">
        <v>16.09672607474203</v>
      </c>
      <c r="H238" s="61">
        <v>19.982057321956461</v>
      </c>
      <c r="I238" s="62">
        <v>1.2302718162536621</v>
      </c>
      <c r="J238" s="63">
        <v>-0.65450757741928101</v>
      </c>
      <c r="K238" s="64">
        <v>43.674760386227661</v>
      </c>
      <c r="L238" s="60">
        <v>4.7975465822001411</v>
      </c>
      <c r="M238" s="65">
        <v>21.51780973337236</v>
      </c>
      <c r="N238" s="61">
        <v>30.009883298199838</v>
      </c>
      <c r="O238" s="63">
        <v>1.1747804880142212</v>
      </c>
      <c r="P238" s="63">
        <v>-0.58615666627883911</v>
      </c>
      <c r="Q238" s="74">
        <v>89.932402149243046</v>
      </c>
      <c r="R238" s="66">
        <v>3.182191228690892</v>
      </c>
      <c r="S238" s="66">
        <v>5.8526543885468527</v>
      </c>
      <c r="T238" s="67">
        <v>1.0327522335192041</v>
      </c>
      <c r="U238" s="68">
        <v>0.40700960159301758</v>
      </c>
      <c r="V238" s="90">
        <v>-0.23308010399341583</v>
      </c>
      <c r="W238" s="141"/>
      <c r="X238" s="143">
        <v>0</v>
      </c>
      <c r="Y238" s="66">
        <v>0</v>
      </c>
      <c r="Z238" s="66">
        <v>0</v>
      </c>
      <c r="AA238" s="66">
        <v>8.4379900677850568</v>
      </c>
      <c r="AB238" s="66">
        <v>8.5857618621667733</v>
      </c>
      <c r="AC238" s="66">
        <v>24.58294734788204</v>
      </c>
      <c r="AD238" s="66">
        <v>26.513970684687969</v>
      </c>
      <c r="AE238" s="70">
        <v>0</v>
      </c>
      <c r="AF238" s="66">
        <v>0</v>
      </c>
      <c r="AG238" s="66">
        <v>0</v>
      </c>
      <c r="AH238" s="66">
        <v>0.39701970972873879</v>
      </c>
      <c r="AI238" s="66">
        <v>10.20307408344906</v>
      </c>
      <c r="AJ238" s="66">
        <v>27.256315557090261</v>
      </c>
      <c r="AK238" s="66">
        <v>6.2153707456883343</v>
      </c>
      <c r="AL238" s="70">
        <v>67.261784332788977</v>
      </c>
      <c r="AM238" s="66">
        <v>11.634290565477601</v>
      </c>
      <c r="AN238" s="66">
        <v>0</v>
      </c>
      <c r="AO238" s="66">
        <v>55.627493767311371</v>
      </c>
      <c r="AP238" s="66">
        <v>4.9968154749850502</v>
      </c>
      <c r="AQ238" s="71">
        <v>18.27176565597015</v>
      </c>
      <c r="AR238" s="150">
        <v>66.663821018287834</v>
      </c>
      <c r="AS238" s="111"/>
      <c r="AT238">
        <f t="shared" si="7"/>
        <v>0.68175305886348947</v>
      </c>
      <c r="AU238" t="str">
        <f t="shared" si="6"/>
        <v>Yemen</v>
      </c>
    </row>
    <row r="239" spans="1:47">
      <c r="A239">
        <v>462</v>
      </c>
      <c r="B239" s="73" t="s">
        <v>499</v>
      </c>
      <c r="C239" s="117" t="s">
        <v>218</v>
      </c>
      <c r="D239" s="73">
        <v>2015</v>
      </c>
      <c r="E239" s="59">
        <v>31.111809882101358</v>
      </c>
      <c r="F239" s="60">
        <v>12.20949971731021</v>
      </c>
      <c r="G239" s="60">
        <v>41.484616630747183</v>
      </c>
      <c r="H239" s="61">
        <v>15.19407376984125</v>
      </c>
      <c r="I239" s="62">
        <v>0.34176048636436462</v>
      </c>
      <c r="J239" s="63">
        <v>-0.59526318311691284</v>
      </c>
      <c r="K239" s="64">
        <v>18.724212086525199</v>
      </c>
      <c r="L239" s="60">
        <v>6.6085829346335476</v>
      </c>
      <c r="M239" s="65">
        <v>49.664030375666698</v>
      </c>
      <c r="N239" s="61">
        <v>25.003174603174561</v>
      </c>
      <c r="O239" s="63">
        <v>0.4028390645980835</v>
      </c>
      <c r="P239" s="63">
        <v>-0.71269840002059937</v>
      </c>
      <c r="Q239" s="74">
        <v>48.995454439235623</v>
      </c>
      <c r="R239" s="66">
        <v>20.29539389860566</v>
      </c>
      <c r="S239" s="66">
        <v>29.676215154222209</v>
      </c>
      <c r="T239" s="67">
        <v>1.032936507936512</v>
      </c>
      <c r="U239" s="68">
        <v>-0.12754784524440765</v>
      </c>
      <c r="V239" s="90">
        <v>-9.4246029853820801E-2</v>
      </c>
      <c r="W239" s="141"/>
      <c r="X239" s="143">
        <v>0</v>
      </c>
      <c r="Y239" s="66">
        <v>0</v>
      </c>
      <c r="Z239" s="66">
        <v>0</v>
      </c>
      <c r="AA239" s="66">
        <v>0</v>
      </c>
      <c r="AB239" s="66">
        <v>20.798176365797332</v>
      </c>
      <c r="AC239" s="66">
        <v>3.4826158074686688</v>
      </c>
      <c r="AD239" s="66">
        <v>6.8310177088353656</v>
      </c>
      <c r="AE239" s="70">
        <v>0</v>
      </c>
      <c r="AF239" s="66">
        <v>0</v>
      </c>
      <c r="AG239" s="66">
        <v>0</v>
      </c>
      <c r="AH239" s="66">
        <v>0</v>
      </c>
      <c r="AI239" s="66">
        <v>17.915170214216172</v>
      </c>
      <c r="AJ239" s="66">
        <v>0.62036811211957243</v>
      </c>
      <c r="AK239" s="66">
        <v>0.1886737601894625</v>
      </c>
      <c r="AL239" s="70">
        <v>0</v>
      </c>
      <c r="AM239" s="66">
        <v>0</v>
      </c>
      <c r="AN239" s="66">
        <v>0</v>
      </c>
      <c r="AO239" s="66">
        <v>0</v>
      </c>
      <c r="AP239" s="66">
        <v>25.29801476756478</v>
      </c>
      <c r="AQ239" s="71">
        <v>7.5224488918764507</v>
      </c>
      <c r="AR239" s="150">
        <v>16.174990779794399</v>
      </c>
      <c r="AS239" s="111"/>
      <c r="AT239">
        <f t="shared" si="7"/>
        <v>1</v>
      </c>
      <c r="AU239" t="str">
        <f t="shared" si="6"/>
        <v>Zambia</v>
      </c>
    </row>
    <row r="240" spans="1:47">
      <c r="A240">
        <v>464</v>
      </c>
      <c r="B240" s="73" t="s">
        <v>500</v>
      </c>
      <c r="C240" s="117" t="s">
        <v>219</v>
      </c>
      <c r="D240" s="73">
        <v>2015</v>
      </c>
      <c r="E240" s="59">
        <v>38.588618819863903</v>
      </c>
      <c r="F240" s="60">
        <v>23.72411451526845</v>
      </c>
      <c r="G240" s="60">
        <v>11.197860979389899</v>
      </c>
      <c r="H240" s="61">
        <v>26.489405685477731</v>
      </c>
      <c r="I240" s="62">
        <v>-0.209569051861763</v>
      </c>
      <c r="J240" s="63">
        <v>-0.19011448323726654</v>
      </c>
      <c r="K240" s="64">
        <v>31.24218701177908</v>
      </c>
      <c r="L240" s="60">
        <v>15.154585186410211</v>
      </c>
      <c r="M240" s="65">
        <v>14.50338434466914</v>
      </c>
      <c r="N240" s="61">
        <v>39.09984345714156</v>
      </c>
      <c r="O240" s="63">
        <v>-0.29546251893043518</v>
      </c>
      <c r="P240" s="63">
        <v>-0.20804725587368011</v>
      </c>
      <c r="Q240" s="74">
        <v>53.933167392569878</v>
      </c>
      <c r="R240" s="66">
        <v>41.623356278757143</v>
      </c>
      <c r="S240" s="66">
        <v>4.2935889243601508</v>
      </c>
      <c r="T240" s="67">
        <v>0.14988740431283529</v>
      </c>
      <c r="U240" s="68">
        <v>2.0905241370201111E-2</v>
      </c>
      <c r="V240" s="90">
        <v>-0.26122906804084778</v>
      </c>
      <c r="W240" s="141"/>
      <c r="X240" s="143">
        <v>0</v>
      </c>
      <c r="Y240" s="66">
        <v>0</v>
      </c>
      <c r="Z240" s="66">
        <v>0</v>
      </c>
      <c r="AA240" s="66">
        <v>0</v>
      </c>
      <c r="AB240" s="66">
        <v>19.83766618521182</v>
      </c>
      <c r="AC240" s="66">
        <v>2.936540814762584</v>
      </c>
      <c r="AD240" s="66">
        <v>15.81441181988952</v>
      </c>
      <c r="AE240" s="70">
        <v>0</v>
      </c>
      <c r="AF240" s="66">
        <v>0</v>
      </c>
      <c r="AG240" s="66">
        <v>0</v>
      </c>
      <c r="AH240" s="66">
        <v>0</v>
      </c>
      <c r="AI240" s="66">
        <v>29.0967122521512</v>
      </c>
      <c r="AJ240" s="66">
        <v>1.181483021399921</v>
      </c>
      <c r="AK240" s="66">
        <v>0.96399173822795414</v>
      </c>
      <c r="AL240" s="70">
        <v>0</v>
      </c>
      <c r="AM240" s="66">
        <v>0</v>
      </c>
      <c r="AN240" s="66">
        <v>0</v>
      </c>
      <c r="AO240" s="66">
        <v>0</v>
      </c>
      <c r="AP240" s="66">
        <v>4.9039811540207889</v>
      </c>
      <c r="AQ240" s="71">
        <v>6.1981227078583334</v>
      </c>
      <c r="AR240" s="150">
        <v>42.831063530690763</v>
      </c>
      <c r="AS240" s="111"/>
      <c r="AT240">
        <f t="shared" si="7"/>
        <v>1</v>
      </c>
      <c r="AU240" t="str">
        <f t="shared" si="6"/>
        <v>Zimbabwe</v>
      </c>
    </row>
    <row r="241" spans="1:47">
      <c r="A241">
        <v>469</v>
      </c>
      <c r="B241" s="152"/>
      <c r="C241" s="94" t="s">
        <v>220</v>
      </c>
      <c r="D241" s="81">
        <v>2015</v>
      </c>
      <c r="E241" s="82">
        <v>100</v>
      </c>
      <c r="F241" s="83">
        <v>0</v>
      </c>
      <c r="G241" s="83">
        <v>0</v>
      </c>
      <c r="H241" s="84">
        <v>0</v>
      </c>
      <c r="I241" s="62">
        <v>0</v>
      </c>
      <c r="J241" s="63">
        <v>0</v>
      </c>
      <c r="K241" s="85">
        <v>0</v>
      </c>
      <c r="L241" s="83">
        <v>0</v>
      </c>
      <c r="M241" s="86">
        <v>0</v>
      </c>
      <c r="N241" s="84">
        <v>0</v>
      </c>
      <c r="O241" s="63">
        <v>0</v>
      </c>
      <c r="P241" s="63">
        <v>0</v>
      </c>
      <c r="Q241" s="87">
        <v>0</v>
      </c>
      <c r="R241" s="88">
        <v>0</v>
      </c>
      <c r="S241" s="88">
        <v>0</v>
      </c>
      <c r="T241" s="89">
        <v>0</v>
      </c>
      <c r="U241" s="68">
        <v>0</v>
      </c>
      <c r="V241" s="90">
        <v>0</v>
      </c>
      <c r="W241" s="79"/>
      <c r="X241" s="91">
        <v>68.249685489396285</v>
      </c>
      <c r="Y241" s="88">
        <v>0</v>
      </c>
      <c r="Z241" s="88">
        <v>0</v>
      </c>
      <c r="AA241" s="88">
        <v>68.249685489396285</v>
      </c>
      <c r="AB241" s="88">
        <v>10.566973668711871</v>
      </c>
      <c r="AC241" s="88">
        <v>1.9069151296399725</v>
      </c>
      <c r="AD241" s="88">
        <v>87.526111201648163</v>
      </c>
      <c r="AE241" s="92">
        <v>0</v>
      </c>
      <c r="AF241" s="88">
        <v>0</v>
      </c>
      <c r="AG241" s="88">
        <v>0</v>
      </c>
      <c r="AH241" s="88">
        <v>0</v>
      </c>
      <c r="AI241" s="88">
        <v>0</v>
      </c>
      <c r="AJ241" s="88">
        <v>0</v>
      </c>
      <c r="AK241" s="88">
        <v>0</v>
      </c>
      <c r="AL241" s="92">
        <v>0</v>
      </c>
      <c r="AM241" s="88">
        <v>0</v>
      </c>
      <c r="AN241" s="88">
        <v>0</v>
      </c>
      <c r="AO241" s="88">
        <v>0</v>
      </c>
      <c r="AP241" s="88">
        <v>0</v>
      </c>
      <c r="AQ241" s="88">
        <v>0</v>
      </c>
      <c r="AR241" s="93">
        <v>0</v>
      </c>
      <c r="AS241" s="112"/>
      <c r="AT241">
        <f t="shared" si="7"/>
        <v>0.220236286607566</v>
      </c>
      <c r="AU241" t="str">
        <f t="shared" si="6"/>
        <v>Australia and New Zealand</v>
      </c>
    </row>
    <row r="242" spans="1:47">
      <c r="A242">
        <v>471</v>
      </c>
      <c r="B242" s="152"/>
      <c r="C242" s="95" t="s">
        <v>221</v>
      </c>
      <c r="D242" s="81">
        <v>2015</v>
      </c>
      <c r="E242" s="82">
        <v>50.082559492252031</v>
      </c>
      <c r="F242" s="83">
        <v>12.159799447778711</v>
      </c>
      <c r="G242" s="83">
        <v>8.2306418238122632</v>
      </c>
      <c r="H242" s="84">
        <v>29.526999236157003</v>
      </c>
      <c r="I242" s="62">
        <v>1.3948817253112793</v>
      </c>
      <c r="J242" s="63">
        <v>-1.5600699186325073</v>
      </c>
      <c r="K242" s="85">
        <v>39.91570198874048</v>
      </c>
      <c r="L242" s="83">
        <v>8.3190944198694741</v>
      </c>
      <c r="M242" s="86">
        <v>8.9739829778254823</v>
      </c>
      <c r="N242" s="84">
        <v>42.791220613564548</v>
      </c>
      <c r="O242" s="63">
        <v>1.5230236053466797</v>
      </c>
      <c r="P242" s="63">
        <v>-1.68668532371521</v>
      </c>
      <c r="Q242" s="87">
        <v>68.973478301845446</v>
      </c>
      <c r="R242" s="88">
        <v>19.296168461386991</v>
      </c>
      <c r="S242" s="88">
        <v>6.8494483347284296</v>
      </c>
      <c r="T242" s="89">
        <v>4.8809049020391129</v>
      </c>
      <c r="U242" s="68">
        <v>0.72760653495788574</v>
      </c>
      <c r="V242" s="90">
        <v>-0.78648275136947632</v>
      </c>
      <c r="W242" s="79"/>
      <c r="X242" s="91">
        <v>0</v>
      </c>
      <c r="Y242" s="88">
        <v>0</v>
      </c>
      <c r="Z242" s="88">
        <v>0</v>
      </c>
      <c r="AA242" s="88">
        <v>3.2429883531744972</v>
      </c>
      <c r="AB242" s="88">
        <v>19.226323934634205</v>
      </c>
      <c r="AC242" s="88">
        <v>19.983267674693337</v>
      </c>
      <c r="AD242" s="88">
        <v>10.872967882924488</v>
      </c>
      <c r="AE242" s="92">
        <v>28.287650970923725</v>
      </c>
      <c r="AF242" s="88">
        <v>27.811384359561636</v>
      </c>
      <c r="AG242" s="88">
        <v>0</v>
      </c>
      <c r="AH242" s="88">
        <v>0.47626661136209042</v>
      </c>
      <c r="AI242" s="88">
        <v>21.161412890540383</v>
      </c>
      <c r="AJ242" s="88">
        <v>17.246159535378826</v>
      </c>
      <c r="AK242" s="88">
        <v>1.5081295628212623</v>
      </c>
      <c r="AL242" s="92">
        <v>0</v>
      </c>
      <c r="AM242" s="88">
        <v>0</v>
      </c>
      <c r="AN242" s="88">
        <v>0</v>
      </c>
      <c r="AO242" s="88">
        <v>8.3838016059679887</v>
      </c>
      <c r="AP242" s="88">
        <v>15.630757817696047</v>
      </c>
      <c r="AQ242" s="88">
        <v>25.069056239646521</v>
      </c>
      <c r="AR242" s="93">
        <v>28.273664244502882</v>
      </c>
      <c r="AS242" s="112"/>
      <c r="AT242">
        <f t="shared" si="7"/>
        <v>0.70173844086604298</v>
      </c>
      <c r="AU242" t="str">
        <f t="shared" si="6"/>
        <v>Central Asia and Southern Asia</v>
      </c>
    </row>
    <row r="243" spans="1:47">
      <c r="A243">
        <v>473</v>
      </c>
      <c r="B243" s="152"/>
      <c r="C243" s="94" t="s">
        <v>222</v>
      </c>
      <c r="D243" s="81">
        <v>2015</v>
      </c>
      <c r="E243" s="82">
        <v>76.990423184509808</v>
      </c>
      <c r="F243" s="83">
        <v>6.0874766723651099</v>
      </c>
      <c r="G243" s="83">
        <v>13.643177073407292</v>
      </c>
      <c r="H243" s="84">
        <v>3.278923069717774</v>
      </c>
      <c r="I243" s="62">
        <v>0.8734210729598999</v>
      </c>
      <c r="J243" s="63">
        <v>-0.24917367100715637</v>
      </c>
      <c r="K243" s="85">
        <v>63.685707936491639</v>
      </c>
      <c r="L243" s="83">
        <v>5.5628935797892991</v>
      </c>
      <c r="M243" s="86">
        <v>24.668979141578468</v>
      </c>
      <c r="N243" s="84">
        <v>6.0824193421405974</v>
      </c>
      <c r="O243" s="63">
        <v>0.75889551639556885</v>
      </c>
      <c r="P243" s="63">
        <v>-0.29112046957015991</v>
      </c>
      <c r="Q243" s="87">
        <v>87.206650957309861</v>
      </c>
      <c r="R243" s="88">
        <v>6.4902857712154374</v>
      </c>
      <c r="S243" s="88">
        <v>5.1768474146026522</v>
      </c>
      <c r="T243" s="89">
        <v>1.1262158568720324</v>
      </c>
      <c r="U243" s="68">
        <v>0.44338956475257874</v>
      </c>
      <c r="V243" s="90">
        <v>-6.3510678708553314E-2</v>
      </c>
      <c r="W243" s="79"/>
      <c r="X243" s="91">
        <v>55.284817860247585</v>
      </c>
      <c r="Y243" s="88">
        <v>23.7805482746538</v>
      </c>
      <c r="Z243" s="88">
        <v>0</v>
      </c>
      <c r="AA243" s="88">
        <v>31.504269585593786</v>
      </c>
      <c r="AB243" s="88">
        <v>23.435291865333721</v>
      </c>
      <c r="AC243" s="88">
        <v>16.719137063382007</v>
      </c>
      <c r="AD243" s="88">
        <v>36.835994255794077</v>
      </c>
      <c r="AE243" s="92">
        <v>41.521608549431349</v>
      </c>
      <c r="AF243" s="88">
        <v>34.646560538440802</v>
      </c>
      <c r="AG243" s="88">
        <v>0</v>
      </c>
      <c r="AH243" s="88">
        <v>6.8750480109905494</v>
      </c>
      <c r="AI243" s="88">
        <v>39.671021731254619</v>
      </c>
      <c r="AJ243" s="88">
        <v>16.164306265684438</v>
      </c>
      <c r="AK243" s="88">
        <v>7.8503799395525808</v>
      </c>
      <c r="AL243" s="92">
        <v>50.416191620932949</v>
      </c>
      <c r="AM243" s="88">
        <v>0</v>
      </c>
      <c r="AN243" s="88">
        <v>0</v>
      </c>
      <c r="AO243" s="88">
        <v>50.416191620932949</v>
      </c>
      <c r="AP243" s="88">
        <v>10.968439980427185</v>
      </c>
      <c r="AQ243" s="88">
        <v>17.145172322234096</v>
      </c>
      <c r="AR243" s="93">
        <v>59.093038654648588</v>
      </c>
      <c r="AS243" s="112"/>
      <c r="AT243">
        <f t="shared" si="7"/>
        <v>0.14474224947414427</v>
      </c>
      <c r="AU243" t="str">
        <f t="shared" si="6"/>
        <v>Eastern Asia and South-eastern Asia</v>
      </c>
    </row>
    <row r="244" spans="1:47">
      <c r="A244">
        <v>475</v>
      </c>
      <c r="B244" s="152"/>
      <c r="C244" s="95" t="s">
        <v>223</v>
      </c>
      <c r="D244" s="81">
        <v>2015</v>
      </c>
      <c r="E244" s="82">
        <v>85.721436779895583</v>
      </c>
      <c r="F244" s="83">
        <v>5.0307748230753777</v>
      </c>
      <c r="G244" s="83">
        <v>6.2009348248721645</v>
      </c>
      <c r="H244" s="84">
        <v>3.0468535721569387</v>
      </c>
      <c r="I244" s="62">
        <v>0.70086604356765747</v>
      </c>
      <c r="J244" s="63">
        <v>-0.44480380415916443</v>
      </c>
      <c r="K244" s="85">
        <v>68.431184356615191</v>
      </c>
      <c r="L244" s="83">
        <v>5.0962447099750587</v>
      </c>
      <c r="M244" s="86">
        <v>15.379165442039081</v>
      </c>
      <c r="N244" s="84">
        <v>11.09340549137068</v>
      </c>
      <c r="O244" s="63">
        <v>1.4080387353897095</v>
      </c>
      <c r="P244" s="63">
        <v>-1.2073600292205811</v>
      </c>
      <c r="Q244" s="87">
        <v>90.07001081509371</v>
      </c>
      <c r="R244" s="88">
        <v>5.0143088604457038</v>
      </c>
      <c r="S244" s="88">
        <v>3.8925697198530127</v>
      </c>
      <c r="T244" s="89">
        <v>1.0231106046075653</v>
      </c>
      <c r="U244" s="68">
        <v>0.38061270117759705</v>
      </c>
      <c r="V244" s="90">
        <v>-0.15356270968914032</v>
      </c>
      <c r="W244" s="79"/>
      <c r="X244" s="91">
        <v>22.401161257115891</v>
      </c>
      <c r="Y244" s="88">
        <v>0</v>
      </c>
      <c r="Z244" s="88">
        <v>0</v>
      </c>
      <c r="AA244" s="88">
        <v>22.355553913018788</v>
      </c>
      <c r="AB244" s="88">
        <v>8.5473145824949537</v>
      </c>
      <c r="AC244" s="88">
        <v>17.031743022151645</v>
      </c>
      <c r="AD244" s="88">
        <v>60.142379175248948</v>
      </c>
      <c r="AE244" s="92">
        <v>0</v>
      </c>
      <c r="AF244" s="88">
        <v>0</v>
      </c>
      <c r="AG244" s="88">
        <v>0</v>
      </c>
      <c r="AH244" s="88">
        <v>5.4211675534945591</v>
      </c>
      <c r="AI244" s="88">
        <v>22.199724733277506</v>
      </c>
      <c r="AJ244" s="88">
        <v>32.395367070554428</v>
      </c>
      <c r="AK244" s="88">
        <v>13.836092552783247</v>
      </c>
      <c r="AL244" s="92">
        <v>26.614626078205276</v>
      </c>
      <c r="AM244" s="88">
        <v>0</v>
      </c>
      <c r="AN244" s="88">
        <v>0</v>
      </c>
      <c r="AO244" s="88">
        <v>26.614626078205276</v>
      </c>
      <c r="AP244" s="88">
        <v>5.1136737745890546</v>
      </c>
      <c r="AQ244" s="88">
        <v>13.167724441747602</v>
      </c>
      <c r="AR244" s="93">
        <v>71.788612598757041</v>
      </c>
      <c r="AS244" s="112"/>
      <c r="AT244">
        <f t="shared" si="7"/>
        <v>0.62828949869314421</v>
      </c>
      <c r="AU244" t="str">
        <f t="shared" si="6"/>
        <v>Latin America and the Caribbean</v>
      </c>
    </row>
    <row r="245" spans="1:47">
      <c r="A245">
        <v>477</v>
      </c>
      <c r="B245" s="152"/>
      <c r="C245" s="80" t="s">
        <v>224</v>
      </c>
      <c r="D245" s="81">
        <v>2015</v>
      </c>
      <c r="E245" s="82">
        <v>97.191811219322929</v>
      </c>
      <c r="F245" s="83">
        <v>0.67209816393645527</v>
      </c>
      <c r="G245" s="83">
        <v>2.1323754735748039</v>
      </c>
      <c r="H245" s="84">
        <v>3.7151431657684903E-3</v>
      </c>
      <c r="I245" s="62">
        <v>0.10400934517383575</v>
      </c>
      <c r="J245" s="63">
        <v>-2.1033817902207375E-3</v>
      </c>
      <c r="K245" s="85">
        <v>93.739982127510075</v>
      </c>
      <c r="L245" s="83">
        <v>0.78079358070060823</v>
      </c>
      <c r="M245" s="86">
        <v>5.4666417394840918</v>
      </c>
      <c r="N245" s="84">
        <v>1.258255230524326E-2</v>
      </c>
      <c r="O245" s="63">
        <v>0.32253000140190125</v>
      </c>
      <c r="P245" s="63">
        <v>-5.7809846475720406E-3</v>
      </c>
      <c r="Q245" s="87">
        <v>98.265339082136336</v>
      </c>
      <c r="R245" s="88">
        <v>0.63829360543928271</v>
      </c>
      <c r="S245" s="88">
        <v>1.0954099566602717</v>
      </c>
      <c r="T245" s="89">
        <v>9.5735576407744076E-4</v>
      </c>
      <c r="U245" s="68">
        <v>1.2863318435847759E-2</v>
      </c>
      <c r="V245" s="90">
        <v>-7.3903088923543692E-4</v>
      </c>
      <c r="W245" s="79"/>
      <c r="X245" s="91">
        <v>77.856513966687402</v>
      </c>
      <c r="Y245" s="88">
        <v>0</v>
      </c>
      <c r="Z245" s="88">
        <v>0</v>
      </c>
      <c r="AA245" s="88">
        <v>77.856513966687402</v>
      </c>
      <c r="AB245" s="88">
        <v>5.4467675126900801</v>
      </c>
      <c r="AC245" s="88">
        <v>9.71159890348817</v>
      </c>
      <c r="AD245" s="88">
        <v>82.033444803144704</v>
      </c>
      <c r="AE245" s="92">
        <v>47.330844829921723</v>
      </c>
      <c r="AF245" s="88">
        <v>0</v>
      </c>
      <c r="AG245" s="88">
        <v>0</v>
      </c>
      <c r="AH245" s="88">
        <v>47.330844829921723</v>
      </c>
      <c r="AI245" s="88">
        <v>14.319991310910918</v>
      </c>
      <c r="AJ245" s="88">
        <v>28.926841951754074</v>
      </c>
      <c r="AK245" s="88">
        <v>50.493148864845047</v>
      </c>
      <c r="AL245" s="92">
        <v>87.350076793151047</v>
      </c>
      <c r="AM245" s="88">
        <v>0</v>
      </c>
      <c r="AN245" s="88">
        <v>0</v>
      </c>
      <c r="AO245" s="88">
        <v>87.350076793151047</v>
      </c>
      <c r="AP245" s="88">
        <v>2.6871717369426609</v>
      </c>
      <c r="AQ245" s="88">
        <v>3.7356081303728956</v>
      </c>
      <c r="AR245" s="93">
        <v>91.842559214820795</v>
      </c>
      <c r="AS245" s="112"/>
      <c r="AT245">
        <f t="shared" si="7"/>
        <v>5.0917413580286244E-2</v>
      </c>
      <c r="AU245" t="str">
        <f t="shared" si="6"/>
        <v>Northern America and Europe</v>
      </c>
    </row>
    <row r="246" spans="1:47">
      <c r="A246">
        <v>479</v>
      </c>
      <c r="B246" s="152"/>
      <c r="C246" s="95" t="s">
        <v>225</v>
      </c>
      <c r="D246" s="81">
        <v>2015</v>
      </c>
      <c r="E246" s="82">
        <v>35.735765718740176</v>
      </c>
      <c r="F246" s="83">
        <v>4.0230366444011487</v>
      </c>
      <c r="G246" s="83">
        <v>48.172772060447663</v>
      </c>
      <c r="H246" s="84">
        <v>12.068425576410988</v>
      </c>
      <c r="I246" s="62">
        <v>-4.0753215551376343E-2</v>
      </c>
      <c r="J246" s="63">
        <v>-5.685105174779892E-2</v>
      </c>
      <c r="K246" s="85">
        <v>23.776471186980892</v>
      </c>
      <c r="L246" s="83">
        <v>2.8547591140584481</v>
      </c>
      <c r="M246" s="86">
        <v>58.439940457266978</v>
      </c>
      <c r="N246" s="84">
        <v>14.928829241693679</v>
      </c>
      <c r="O246" s="63">
        <v>-4.3340116739273071E-2</v>
      </c>
      <c r="P246" s="63">
        <v>-7.5788021087646484E-2</v>
      </c>
      <c r="Q246" s="87">
        <v>75.69939777828867</v>
      </c>
      <c r="R246" s="88">
        <v>7.9269971365578309</v>
      </c>
      <c r="S246" s="88">
        <v>13.863612852579998</v>
      </c>
      <c r="T246" s="89">
        <v>2.5099922325735196</v>
      </c>
      <c r="U246" s="68">
        <v>6.5444178879261017E-2</v>
      </c>
      <c r="V246" s="90">
        <v>-1.9303658977150917E-2</v>
      </c>
      <c r="W246" s="79"/>
      <c r="X246" s="91">
        <v>0</v>
      </c>
      <c r="Y246" s="88">
        <v>0</v>
      </c>
      <c r="Z246" s="88">
        <v>0</v>
      </c>
      <c r="AA246" s="88">
        <v>3.2599897509845608</v>
      </c>
      <c r="AB246" s="88">
        <v>15.644061499191356</v>
      </c>
      <c r="AC246" s="88">
        <v>12.897777577936322</v>
      </c>
      <c r="AD246" s="88">
        <v>7.1939266416125012</v>
      </c>
      <c r="AE246" s="92">
        <v>0</v>
      </c>
      <c r="AF246" s="88">
        <v>0</v>
      </c>
      <c r="AG246" s="88">
        <v>0</v>
      </c>
      <c r="AH246" s="88">
        <v>0.80881134476771011</v>
      </c>
      <c r="AI246" s="88">
        <v>15.931421165177248</v>
      </c>
      <c r="AJ246" s="88">
        <v>6.0501393861891009</v>
      </c>
      <c r="AK246" s="88">
        <v>1.7949106356145439</v>
      </c>
      <c r="AL246" s="92">
        <v>0</v>
      </c>
      <c r="AM246" s="88">
        <v>0</v>
      </c>
      <c r="AN246" s="88">
        <v>0</v>
      </c>
      <c r="AO246" s="88">
        <v>11.450940452819177</v>
      </c>
      <c r="AP246" s="88">
        <v>14.683809543717052</v>
      </c>
      <c r="AQ246" s="88">
        <v>35.780104996595632</v>
      </c>
      <c r="AR246" s="93">
        <v>25.23548323797597</v>
      </c>
      <c r="AS246" s="112"/>
      <c r="AT246">
        <f t="shared" si="7"/>
        <v>0.54684139644578833</v>
      </c>
      <c r="AU246" t="str">
        <f t="shared" si="6"/>
        <v>Oceania excluding Australia and New Zealand</v>
      </c>
    </row>
    <row r="247" spans="1:47">
      <c r="A247">
        <v>481</v>
      </c>
      <c r="B247" s="152"/>
      <c r="C247" s="80" t="s">
        <v>226</v>
      </c>
      <c r="D247" s="81">
        <v>2015</v>
      </c>
      <c r="E247" s="82">
        <v>28.099640987183744</v>
      </c>
      <c r="F247" s="83">
        <v>17.859499657491188</v>
      </c>
      <c r="G247" s="83">
        <v>31.177383009348869</v>
      </c>
      <c r="H247" s="84">
        <v>22.863476345976196</v>
      </c>
      <c r="I247" s="62">
        <v>0.23216064274311066</v>
      </c>
      <c r="J247" s="63">
        <v>-0.59486031532287598</v>
      </c>
      <c r="K247" s="85">
        <v>20.113496087008677</v>
      </c>
      <c r="L247" s="83">
        <v>9.2159939074428454</v>
      </c>
      <c r="M247" s="86">
        <v>38.473075271402777</v>
      </c>
      <c r="N247" s="84">
        <v>32.197434734145681</v>
      </c>
      <c r="O247" s="63">
        <v>0.12176511436700821</v>
      </c>
      <c r="P247" s="63">
        <v>-0.66229736804962158</v>
      </c>
      <c r="Q247" s="87">
        <v>41.140247699277992</v>
      </c>
      <c r="R247" s="88">
        <v>31.973513428720747</v>
      </c>
      <c r="S247" s="88">
        <v>19.264219064649005</v>
      </c>
      <c r="T247" s="89">
        <v>7.6220198073522569</v>
      </c>
      <c r="U247" s="68">
        <v>0.15557299554347992</v>
      </c>
      <c r="V247" s="90">
        <v>-6.4965315163135529E-2</v>
      </c>
      <c r="W247" s="79"/>
      <c r="X247" s="91">
        <v>0</v>
      </c>
      <c r="Y247" s="88">
        <v>0</v>
      </c>
      <c r="Z247" s="88">
        <v>0</v>
      </c>
      <c r="AA247" s="88">
        <v>0</v>
      </c>
      <c r="AB247" s="88">
        <v>18.482443186011448</v>
      </c>
      <c r="AC247" s="88">
        <v>4.7365101836532153</v>
      </c>
      <c r="AD247" s="88">
        <v>4.8806876175190785</v>
      </c>
      <c r="AE247" s="92">
        <v>0</v>
      </c>
      <c r="AF247" s="88">
        <v>0</v>
      </c>
      <c r="AG247" s="88">
        <v>0</v>
      </c>
      <c r="AH247" s="88">
        <v>0</v>
      </c>
      <c r="AI247" s="88">
        <v>17.522310702264239</v>
      </c>
      <c r="AJ247" s="88">
        <v>1.7615825468440736</v>
      </c>
      <c r="AK247" s="88">
        <v>0.82960283790036515</v>
      </c>
      <c r="AL247" s="92">
        <v>0</v>
      </c>
      <c r="AM247" s="88">
        <v>0</v>
      </c>
      <c r="AN247" s="88">
        <v>0</v>
      </c>
      <c r="AO247" s="88">
        <v>0</v>
      </c>
      <c r="AP247" s="88">
        <v>20.050247210175751</v>
      </c>
      <c r="AQ247" s="88">
        <v>9.5942809596026404</v>
      </c>
      <c r="AR247" s="93">
        <v>11.495719529499599</v>
      </c>
      <c r="AS247" s="112"/>
      <c r="AT247">
        <f t="shared" si="7"/>
        <v>1</v>
      </c>
      <c r="AU247" t="str">
        <f t="shared" si="6"/>
        <v>Sub-Saharan Africa</v>
      </c>
    </row>
    <row r="248" spans="1:47">
      <c r="A248">
        <v>483</v>
      </c>
      <c r="C248" s="80" t="s">
        <v>227</v>
      </c>
      <c r="D248" s="81">
        <v>2015</v>
      </c>
      <c r="E248" s="82">
        <v>86.053404497395704</v>
      </c>
      <c r="F248" s="83">
        <v>4.5064038809314475</v>
      </c>
      <c r="G248" s="83">
        <v>5.3555830040516534</v>
      </c>
      <c r="H248" s="84">
        <v>4.0846086176211989</v>
      </c>
      <c r="I248" s="62">
        <v>0.51039713621139526</v>
      </c>
      <c r="J248" s="63">
        <v>-0.34739574790000916</v>
      </c>
      <c r="K248" s="85">
        <v>74.22179828802885</v>
      </c>
      <c r="L248" s="83">
        <v>5.2374563453558132</v>
      </c>
      <c r="M248" s="86">
        <v>10.388578163001077</v>
      </c>
      <c r="N248" s="84">
        <v>10.152167203614258</v>
      </c>
      <c r="O248" s="63">
        <v>0.69091355800628662</v>
      </c>
      <c r="P248" s="63">
        <v>-0.60598516464233398</v>
      </c>
      <c r="Q248" s="87">
        <v>93.51028314383646</v>
      </c>
      <c r="R248" s="88">
        <v>4.045657519454493</v>
      </c>
      <c r="S248" s="88">
        <v>2.1835340476979979</v>
      </c>
      <c r="T248" s="89">
        <v>0.26052528901107525</v>
      </c>
      <c r="U248" s="68">
        <v>0.25700831413269043</v>
      </c>
      <c r="V248" s="90">
        <v>-8.8906481862068176E-2</v>
      </c>
      <c r="W248" s="79"/>
      <c r="X248" s="91">
        <v>32.79805669827492</v>
      </c>
      <c r="Y248" s="88">
        <v>0</v>
      </c>
      <c r="Z248" s="88">
        <v>0</v>
      </c>
      <c r="AA248" s="88">
        <v>32.79805669827492</v>
      </c>
      <c r="AB248" s="88">
        <v>16.608046873620967</v>
      </c>
      <c r="AC248" s="88">
        <v>13.544520042125358</v>
      </c>
      <c r="AD248" s="88">
        <v>55.900837581649363</v>
      </c>
      <c r="AE248" s="92">
        <v>0</v>
      </c>
      <c r="AF248" s="88">
        <v>0</v>
      </c>
      <c r="AG248" s="88">
        <v>0</v>
      </c>
      <c r="AH248" s="88">
        <v>13.8831532532302</v>
      </c>
      <c r="AI248" s="88">
        <v>26.777429092721565</v>
      </c>
      <c r="AJ248" s="88">
        <v>22.977859073948007</v>
      </c>
      <c r="AK248" s="88">
        <v>24.466510121359285</v>
      </c>
      <c r="AL248" s="92">
        <v>44.719188715598044</v>
      </c>
      <c r="AM248" s="88">
        <v>0</v>
      </c>
      <c r="AN248" s="88">
        <v>0</v>
      </c>
      <c r="AO248" s="88">
        <v>44.719188715598044</v>
      </c>
      <c r="AP248" s="88">
        <v>10.19878613799313</v>
      </c>
      <c r="AQ248" s="88">
        <v>7.5991510747788222</v>
      </c>
      <c r="AR248" s="93">
        <v>75.71234593106449</v>
      </c>
      <c r="AS248" s="112"/>
      <c r="AT248">
        <f t="shared" si="7"/>
        <v>0.41328147989965758</v>
      </c>
      <c r="AU248" t="str">
        <f t="shared" si="6"/>
        <v>Western Asia and Northern Africa</v>
      </c>
    </row>
    <row r="249" spans="1:47">
      <c r="A249">
        <v>487</v>
      </c>
      <c r="B249" s="152"/>
      <c r="C249" s="80" t="s">
        <v>228</v>
      </c>
      <c r="D249" s="81">
        <v>2015</v>
      </c>
      <c r="E249" s="82">
        <v>32.327963131257661</v>
      </c>
      <c r="F249" s="83">
        <v>14.788106469201232</v>
      </c>
      <c r="G249" s="83">
        <v>32.953627799546673</v>
      </c>
      <c r="H249" s="84">
        <v>19.930302599994448</v>
      </c>
      <c r="I249" s="62">
        <v>0.6527213454246521</v>
      </c>
      <c r="J249" s="63">
        <v>-1.0289372205734253</v>
      </c>
      <c r="K249" s="85">
        <v>25.933779967852864</v>
      </c>
      <c r="L249" s="83">
        <v>9.3196044425019782</v>
      </c>
      <c r="M249" s="86">
        <v>37.775253838772912</v>
      </c>
      <c r="N249" s="84">
        <v>26.971361750872219</v>
      </c>
      <c r="O249" s="63">
        <v>0.58069133758544922</v>
      </c>
      <c r="P249" s="63">
        <v>-1.0968039035797119</v>
      </c>
      <c r="Q249" s="87">
        <v>46.194707152102183</v>
      </c>
      <c r="R249" s="88">
        <v>26.647372280618786</v>
      </c>
      <c r="S249" s="88">
        <v>22.497209467203007</v>
      </c>
      <c r="T249" s="89">
        <v>4.6607111000760248</v>
      </c>
      <c r="U249" s="68">
        <v>0.48426526784896851</v>
      </c>
      <c r="V249" s="90">
        <v>-0.38935744762420654</v>
      </c>
      <c r="W249" s="79"/>
      <c r="X249" s="91">
        <v>0</v>
      </c>
      <c r="Y249" s="88">
        <v>0</v>
      </c>
      <c r="Z249" s="88">
        <v>0</v>
      </c>
      <c r="AA249" s="88">
        <v>0</v>
      </c>
      <c r="AB249" s="88">
        <v>22.485856743897482</v>
      </c>
      <c r="AC249" s="88">
        <v>7.3069056716039151</v>
      </c>
      <c r="AD249" s="88">
        <v>2.5352007157562615</v>
      </c>
      <c r="AE249" s="92">
        <v>13.668211512800648</v>
      </c>
      <c r="AF249" s="88">
        <v>13.668211512800648</v>
      </c>
      <c r="AG249" s="88">
        <v>0</v>
      </c>
      <c r="AH249" s="88">
        <v>0</v>
      </c>
      <c r="AI249" s="88">
        <v>20.621254654140387</v>
      </c>
      <c r="AJ249" s="88">
        <v>4.7020585368543886</v>
      </c>
      <c r="AK249" s="88">
        <v>0.61046677685809747</v>
      </c>
      <c r="AL249" s="92">
        <v>0</v>
      </c>
      <c r="AM249" s="88">
        <v>0</v>
      </c>
      <c r="AN249" s="88">
        <v>0</v>
      </c>
      <c r="AO249" s="88">
        <v>0</v>
      </c>
      <c r="AP249" s="88">
        <v>26.529525687785792</v>
      </c>
      <c r="AQ249" s="88">
        <v>12.955906882224291</v>
      </c>
      <c r="AR249" s="93">
        <v>6.7092745820921227</v>
      </c>
      <c r="AS249" s="112"/>
      <c r="AT249">
        <f t="shared" si="7"/>
        <v>1</v>
      </c>
      <c r="AU249" t="str">
        <f t="shared" si="6"/>
        <v>Least Developed Countries</v>
      </c>
    </row>
    <row r="250" spans="1:47">
      <c r="A250">
        <v>489</v>
      </c>
      <c r="B250" s="152"/>
      <c r="C250" s="80" t="s">
        <v>229</v>
      </c>
      <c r="D250" s="81">
        <v>2015</v>
      </c>
      <c r="E250" s="82">
        <v>40.272021354925378</v>
      </c>
      <c r="F250" s="83">
        <v>10.833784768511228</v>
      </c>
      <c r="G250" s="83">
        <v>28.457968043727334</v>
      </c>
      <c r="H250" s="84">
        <v>20.436225832836055</v>
      </c>
      <c r="I250" s="62">
        <v>0.39510872960090637</v>
      </c>
      <c r="J250" s="63">
        <v>-1.0939149856567383</v>
      </c>
      <c r="K250" s="85">
        <v>32.202559161549658</v>
      </c>
      <c r="L250" s="83">
        <v>6.2556104759015918</v>
      </c>
      <c r="M250" s="86">
        <v>34.083709061648889</v>
      </c>
      <c r="N250" s="84">
        <v>27.458121300899847</v>
      </c>
      <c r="O250" s="63">
        <v>0.45587298274040222</v>
      </c>
      <c r="P250" s="63">
        <v>-1.3288748264312744</v>
      </c>
      <c r="Q250" s="87">
        <v>60.050534179461565</v>
      </c>
      <c r="R250" s="88">
        <v>22.055038030429259</v>
      </c>
      <c r="S250" s="88">
        <v>14.669094856884449</v>
      </c>
      <c r="T250" s="89">
        <v>3.2253329332247178</v>
      </c>
      <c r="U250" s="68">
        <v>1.6035741195082664E-2</v>
      </c>
      <c r="V250" s="90">
        <v>-0.24777026474475861</v>
      </c>
      <c r="W250" s="79"/>
      <c r="X250" s="91">
        <v>0</v>
      </c>
      <c r="Y250" s="88">
        <v>0</v>
      </c>
      <c r="Z250" s="88">
        <v>0</v>
      </c>
      <c r="AA250" s="88">
        <v>4.3301427463137241</v>
      </c>
      <c r="AB250" s="88">
        <v>27.668429951450634</v>
      </c>
      <c r="AC250" s="88">
        <v>5.2249223581679205</v>
      </c>
      <c r="AD250" s="88">
        <v>7.3786690453068253</v>
      </c>
      <c r="AE250" s="92">
        <v>0</v>
      </c>
      <c r="AF250" s="88">
        <v>0</v>
      </c>
      <c r="AG250" s="88">
        <v>0</v>
      </c>
      <c r="AH250" s="88">
        <v>0</v>
      </c>
      <c r="AI250" s="88">
        <v>27.58644801200878</v>
      </c>
      <c r="AJ250" s="88">
        <v>3.630555793847813</v>
      </c>
      <c r="AK250" s="88">
        <v>0.98555535569305608</v>
      </c>
      <c r="AL250" s="92">
        <v>0</v>
      </c>
      <c r="AM250" s="88">
        <v>0</v>
      </c>
      <c r="AN250" s="88">
        <v>0</v>
      </c>
      <c r="AO250" s="88">
        <v>13.176393943840603</v>
      </c>
      <c r="AP250" s="88">
        <v>27.86937033654371</v>
      </c>
      <c r="AQ250" s="88">
        <v>9.1327663735105613</v>
      </c>
      <c r="AR250" s="93">
        <v>23.048397469407313</v>
      </c>
      <c r="AS250" s="112"/>
      <c r="AT250">
        <f t="shared" si="7"/>
        <v>0.41315395503910085</v>
      </c>
      <c r="AU250" t="str">
        <f t="shared" si="6"/>
        <v>Landlocked developing countries</v>
      </c>
    </row>
    <row r="251" spans="1:47">
      <c r="A251">
        <v>491</v>
      </c>
      <c r="B251" s="152"/>
      <c r="C251" s="80" t="s">
        <v>230</v>
      </c>
      <c r="D251" s="81">
        <v>2015</v>
      </c>
      <c r="E251" s="82">
        <v>67.902801083077463</v>
      </c>
      <c r="F251" s="83">
        <v>10.256140476258652</v>
      </c>
      <c r="G251" s="83">
        <v>14.849373353990353</v>
      </c>
      <c r="H251" s="84">
        <v>6.9916850866735185</v>
      </c>
      <c r="I251" s="62">
        <v>0.12550833821296692</v>
      </c>
      <c r="J251" s="63">
        <v>-0.24661415815353394</v>
      </c>
      <c r="K251" s="85">
        <v>48.122563637935997</v>
      </c>
      <c r="L251" s="83">
        <v>7.6624188387404244</v>
      </c>
      <c r="M251" s="86">
        <v>29.633915701659735</v>
      </c>
      <c r="N251" s="84">
        <v>14.581101821663795</v>
      </c>
      <c r="O251" s="63">
        <v>0.18715500831604004</v>
      </c>
      <c r="P251" s="63">
        <v>-0.43581956624984741</v>
      </c>
      <c r="Q251" s="87">
        <v>80.241585377280927</v>
      </c>
      <c r="R251" s="88">
        <v>11.87408727256501</v>
      </c>
      <c r="S251" s="88">
        <v>5.626871378352182</v>
      </c>
      <c r="T251" s="89">
        <v>2.2574559718018747</v>
      </c>
      <c r="U251" s="68">
        <v>-0.16092397272586823</v>
      </c>
      <c r="V251" s="90">
        <v>-3.7016614805907011E-3</v>
      </c>
      <c r="W251" s="79"/>
      <c r="X251" s="91">
        <v>0</v>
      </c>
      <c r="Y251" s="88">
        <v>0</v>
      </c>
      <c r="Z251" s="88">
        <v>0</v>
      </c>
      <c r="AA251" s="88">
        <v>14.504913312553322</v>
      </c>
      <c r="AB251" s="88">
        <v>17.82943385501239</v>
      </c>
      <c r="AC251" s="88">
        <v>21.139819640984346</v>
      </c>
      <c r="AD251" s="88">
        <v>28.93354758708071</v>
      </c>
      <c r="AE251" s="92">
        <v>0</v>
      </c>
      <c r="AF251" s="88">
        <v>0</v>
      </c>
      <c r="AG251" s="88">
        <v>0</v>
      </c>
      <c r="AH251" s="88">
        <v>1.8588256658648767</v>
      </c>
      <c r="AI251" s="88">
        <v>25.956923589810071</v>
      </c>
      <c r="AJ251" s="88">
        <v>16.868600128559496</v>
      </c>
      <c r="AK251" s="88">
        <v>5.2970399195664308</v>
      </c>
      <c r="AL251" s="92">
        <v>0</v>
      </c>
      <c r="AM251" s="88">
        <v>0</v>
      </c>
      <c r="AN251" s="88">
        <v>0</v>
      </c>
      <c r="AO251" s="88">
        <v>22.39346106486591</v>
      </c>
      <c r="AP251" s="88">
        <v>12.759558280002349</v>
      </c>
      <c r="AQ251" s="88">
        <v>23.804178771311584</v>
      </c>
      <c r="AR251" s="93">
        <v>43.677848325966991</v>
      </c>
      <c r="AS251" s="112"/>
      <c r="AT251">
        <f t="shared" si="7"/>
        <v>0.49868182362020491</v>
      </c>
      <c r="AU251" t="str">
        <f t="shared" si="6"/>
        <v>Small island developing States</v>
      </c>
    </row>
    <row r="252" spans="1:47">
      <c r="A252">
        <v>494</v>
      </c>
      <c r="C252" s="96" t="s">
        <v>231</v>
      </c>
      <c r="D252" s="81">
        <v>2015</v>
      </c>
      <c r="E252" s="82">
        <v>68.056969723959639</v>
      </c>
      <c r="F252" s="83">
        <v>8.1614812963028598</v>
      </c>
      <c r="G252" s="83">
        <v>11.642937883525899</v>
      </c>
      <c r="H252" s="84">
        <v>12.13861109621163</v>
      </c>
      <c r="I252" s="62">
        <v>0.63471442461013794</v>
      </c>
      <c r="J252" s="63">
        <v>-0.52860885858535767</v>
      </c>
      <c r="K252" s="85">
        <v>50.380982393145935</v>
      </c>
      <c r="L252" s="83">
        <v>6.7924336839008861</v>
      </c>
      <c r="M252" s="86">
        <v>18.857156684115679</v>
      </c>
      <c r="N252" s="84">
        <v>23.969427238837465</v>
      </c>
      <c r="O252" s="63">
        <v>0.71326965093612671</v>
      </c>
      <c r="P252" s="63">
        <v>-0.6527743935585022</v>
      </c>
      <c r="Q252" s="87">
        <v>83.159245434786229</v>
      </c>
      <c r="R252" s="88">
        <v>9.3311887710135082</v>
      </c>
      <c r="S252" s="88">
        <v>5.4791452010765731</v>
      </c>
      <c r="T252" s="89">
        <v>2.0304205931236181</v>
      </c>
      <c r="U252" s="68">
        <v>0.20118741691112518</v>
      </c>
      <c r="V252" s="90">
        <v>-0.15641048550605774</v>
      </c>
      <c r="W252" s="79"/>
      <c r="X252" s="91">
        <v>39.252308607866169</v>
      </c>
      <c r="Y252" s="88">
        <v>0</v>
      </c>
      <c r="Z252" s="88">
        <v>0</v>
      </c>
      <c r="AA252" s="88">
        <v>26.449264476410391</v>
      </c>
      <c r="AB252" s="88">
        <v>17.227596947940963</v>
      </c>
      <c r="AC252" s="88">
        <v>14.700573333031006</v>
      </c>
      <c r="AD252" s="88">
        <v>36.128799442987628</v>
      </c>
      <c r="AE252" s="92">
        <v>34.588509950534259</v>
      </c>
      <c r="AF252" s="88">
        <v>27.787967608996524</v>
      </c>
      <c r="AG252" s="88">
        <v>0</v>
      </c>
      <c r="AH252" s="88">
        <v>6.8005423415377342</v>
      </c>
      <c r="AI252" s="88">
        <v>25.651182414313745</v>
      </c>
      <c r="AJ252" s="88">
        <v>15.94627238949395</v>
      </c>
      <c r="AK252" s="88">
        <v>8.7835275893382647</v>
      </c>
      <c r="AL252" s="92">
        <v>43.237034997663095</v>
      </c>
      <c r="AM252" s="88">
        <v>0</v>
      </c>
      <c r="AN252" s="88">
        <v>0</v>
      </c>
      <c r="AO252" s="88">
        <v>43.237034997663095</v>
      </c>
      <c r="AP252" s="88">
        <v>10.030527397822709</v>
      </c>
      <c r="AQ252" s="88">
        <v>13.636254251367919</v>
      </c>
      <c r="AR252" s="93">
        <v>59.492463785595632</v>
      </c>
      <c r="AS252" s="112"/>
      <c r="AT252">
        <f t="shared" si="7"/>
        <v>0.26791742642464067</v>
      </c>
      <c r="AU252" t="str">
        <f t="shared" si="6"/>
        <v>World</v>
      </c>
    </row>
    <row r="253" spans="1:47">
      <c r="B253" s="97"/>
      <c r="C253" s="98"/>
      <c r="W253"/>
    </row>
    <row r="254" spans="1:47" s="7" customFormat="1">
      <c r="C254" s="3" t="s">
        <v>501</v>
      </c>
      <c r="D254" s="99" t="s">
        <v>502</v>
      </c>
      <c r="E254" s="99"/>
      <c r="F254" s="99"/>
      <c r="G254" s="99"/>
      <c r="H254" s="99"/>
      <c r="I254" s="99"/>
      <c r="J254" s="99"/>
      <c r="K254" s="99"/>
      <c r="L254" s="99"/>
      <c r="M254" s="99"/>
      <c r="N254" s="99"/>
      <c r="O254" s="99"/>
      <c r="P254" s="99"/>
      <c r="Q254" s="99"/>
      <c r="R254" s="100"/>
      <c r="S254" s="100"/>
      <c r="AS254" s="107"/>
    </row>
    <row r="255" spans="1:47" s="7" customFormat="1">
      <c r="D255" s="99" t="s">
        <v>503</v>
      </c>
      <c r="E255" s="99"/>
      <c r="F255" s="99"/>
      <c r="G255" s="99"/>
      <c r="H255" s="99"/>
      <c r="I255" s="99"/>
      <c r="J255" s="99"/>
      <c r="K255" s="99"/>
      <c r="L255" s="99"/>
      <c r="M255" s="99"/>
      <c r="N255" s="99"/>
      <c r="O255" s="99"/>
      <c r="P255" s="99"/>
      <c r="Q255" s="99"/>
      <c r="R255" s="100"/>
      <c r="S255" s="100"/>
      <c r="AS255" s="107"/>
    </row>
    <row r="256" spans="1:47" s="7" customFormat="1" ht="43.5" customHeight="1">
      <c r="D256" s="101" t="s">
        <v>504</v>
      </c>
      <c r="E256" s="101"/>
      <c r="F256" s="101"/>
      <c r="G256" s="101"/>
      <c r="H256" s="101"/>
      <c r="I256" s="101"/>
      <c r="J256" s="101"/>
      <c r="K256" s="101"/>
      <c r="L256" s="101"/>
      <c r="M256" s="101"/>
      <c r="N256" s="101"/>
      <c r="O256" s="101"/>
      <c r="P256" s="101"/>
      <c r="Q256" s="101"/>
      <c r="R256" s="101"/>
      <c r="S256" s="101"/>
      <c r="AS256" s="107"/>
    </row>
    <row r="257" spans="2:45" s="7" customFormat="1" ht="42" customHeight="1">
      <c r="D257" s="101" t="s">
        <v>505</v>
      </c>
      <c r="E257" s="101"/>
      <c r="F257" s="101"/>
      <c r="G257" s="101"/>
      <c r="H257" s="101"/>
      <c r="I257" s="101"/>
      <c r="J257" s="101"/>
      <c r="K257" s="101"/>
      <c r="L257" s="101"/>
      <c r="M257" s="101"/>
      <c r="N257" s="101"/>
      <c r="O257" s="101"/>
      <c r="P257" s="101"/>
      <c r="Q257" s="101"/>
      <c r="R257" s="101"/>
      <c r="S257" s="101"/>
      <c r="AS257" s="107"/>
    </row>
    <row r="258" spans="2:45" s="7" customFormat="1">
      <c r="D258" s="99"/>
      <c r="E258" s="99"/>
      <c r="F258" s="99"/>
      <c r="G258" s="99"/>
      <c r="H258" s="99"/>
      <c r="I258" s="99"/>
      <c r="J258" s="99"/>
      <c r="K258" s="99"/>
      <c r="L258" s="99"/>
      <c r="M258" s="99"/>
      <c r="N258" s="99"/>
      <c r="O258" s="99"/>
      <c r="P258" s="99"/>
      <c r="Q258" s="99"/>
      <c r="R258" s="100"/>
      <c r="S258" s="100"/>
      <c r="AS258" s="107"/>
    </row>
    <row r="259" spans="2:45" s="7" customFormat="1">
      <c r="C259" s="102" t="s">
        <v>506</v>
      </c>
      <c r="D259" s="103" t="s">
        <v>507</v>
      </c>
      <c r="AS259" s="107"/>
    </row>
    <row r="260" spans="2:45" s="7" customFormat="1">
      <c r="C260" s="102"/>
      <c r="D260" s="103"/>
      <c r="AS260" s="107"/>
    </row>
    <row r="261" spans="2:45" s="7" customFormat="1">
      <c r="B261" s="3" t="s">
        <v>508</v>
      </c>
      <c r="C261" s="104"/>
      <c r="AS261" s="107"/>
    </row>
    <row r="262" spans="2:45" s="7" customFormat="1">
      <c r="B262" s="3" t="s">
        <v>509</v>
      </c>
      <c r="C262" s="105" t="s">
        <v>510</v>
      </c>
      <c r="AS262" s="107"/>
    </row>
    <row r="263" spans="2:45" s="7" customFormat="1">
      <c r="D263" s="104"/>
      <c r="AS263" s="107"/>
    </row>
  </sheetData>
  <autoFilter ref="A8:AT8">
    <sortState ref="A9:AT252">
      <sortCondition ref="A8"/>
    </sortState>
  </autoFilter>
  <mergeCells count="8">
    <mergeCell ref="X7:AD7"/>
    <mergeCell ref="AE7:AK7"/>
    <mergeCell ref="AL7:AR7"/>
    <mergeCell ref="D256:S256"/>
    <mergeCell ref="D257:S257"/>
    <mergeCell ref="E6:J7"/>
    <mergeCell ref="K6:P7"/>
    <mergeCell ref="Q6:V7"/>
  </mergeCells>
  <hyperlinks>
    <hyperlink ref="C262"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Data_work</vt:lpstr>
      <vt:lpstr>Data_clean</vt:lpstr>
      <vt:lpstr>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Lesage</dc:creator>
  <cp:lastModifiedBy>Pascal Lesage</cp:lastModifiedBy>
  <dcterms:created xsi:type="dcterms:W3CDTF">2018-04-10T16:09:27Z</dcterms:created>
  <dcterms:modified xsi:type="dcterms:W3CDTF">2018-04-10T21:48:50Z</dcterms:modified>
</cp:coreProperties>
</file>