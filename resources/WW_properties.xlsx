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mypy\code\wastewater_treatment_tool\resources\"/>
    </mc:Choice>
  </mc:AlternateContent>
  <bookViews>
    <workbookView xWindow="0" yWindow="0" windowWidth="23040" windowHeight="8814"/>
  </bookViews>
  <sheets>
    <sheet name="WW_props" sheetId="1" r:id="rId1"/>
    <sheet name="Sheet1" sheetId="3" r:id="rId2"/>
    <sheet name="Missing" sheetId="2" r:id="rId3"/>
  </sheets>
  <definedNames>
    <definedName name="_xlnm._FilterDatabase" localSheetId="0" hidden="1">WW_props!$A$1:$J$1</definedName>
  </definedNames>
  <calcPr calcId="171027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2" l="1"/>
  <c r="S2" i="2"/>
</calcChain>
</file>

<file path=xl/sharedStrings.xml><?xml version="1.0" encoding="utf-8"?>
<sst xmlns="http://schemas.openxmlformats.org/spreadsheetml/2006/main" count="423" uniqueCount="284">
  <si>
    <t>dd13a45c-ddd8-414d-821f-dfe31c7d2868</t>
  </si>
  <si>
    <t>BOD5, mass per volume</t>
  </si>
  <si>
    <t>kg/m3</t>
  </si>
  <si>
    <t>Biological Oxygen Demand BOD5, as O2</t>
  </si>
  <si>
    <t>3f469e9e-267a-4100-9f43-4297441dc726</t>
  </si>
  <si>
    <t>COD, mass per volume</t>
  </si>
  <si>
    <t>Chemical Oxygen Demand as O2</t>
  </si>
  <si>
    <t>efe22a60-b1a3-4b33-a5ba-4bf575e0a889</t>
  </si>
  <si>
    <t>mass concentration, DOC</t>
  </si>
  <si>
    <t>Mass concentration of Dissolved Organic Carbon</t>
  </si>
  <si>
    <t>a547f885-601d-4d52-9bf9-60f0cef06269</t>
  </si>
  <si>
    <t>mass concentration, TOC</t>
  </si>
  <si>
    <t>Mass concentration of Total Organic Carbon</t>
  </si>
  <si>
    <t>1e4ef691-c7d3-49fc-9aee-6d77575a7b8a</t>
  </si>
  <si>
    <t>mass concentration, dissolved sulfate SO4 as S</t>
  </si>
  <si>
    <t>Mass concentration of dissolved sulfate SO4 (CAS 014808-79-8) as S. Note that dissolved and particulate S are optional yet desirable specifications of total sulfur.</t>
  </si>
  <si>
    <t>8175120e-a5b7-4f19-afca-5620e9e4dd8b</t>
  </si>
  <si>
    <t>mass concentration, particulate sulfur</t>
  </si>
  <si>
    <t>Mass concentration of particulate sulfur as S. Note that dissolved and particulate S are optional yet desirable specifications of total sulfur.</t>
  </si>
  <si>
    <t>7f3410da-b91e-40d8-9545-ab269ff66900</t>
  </si>
  <si>
    <t>mass concentration, sulfur</t>
  </si>
  <si>
    <t>Mass concentration of sulfur as S (Stot.). (CAS 007704-34-9)</t>
  </si>
  <si>
    <t>f7fa53fa-ee5f-4a97-bcd8-1b0851afe9a6</t>
  </si>
  <si>
    <t>mass concentration, dissolved ammonia NH4 as N</t>
  </si>
  <si>
    <t>Mass concentration of dissolved ammonia NH4 (CAS 007664-41-7) as N. Note that dissolved and particulate N are optional yet desirable specifications of total nitrogen.</t>
  </si>
  <si>
    <t>4f461b9d-5a7b-4a46-8803-23f6df0dc522</t>
  </si>
  <si>
    <t>mass concentration, dissolved nitrate NO3 as N</t>
  </si>
  <si>
    <t>Mass concentration of dissolved nitrate NO3 (CAS 014797-55-8) as N. Note that dissolved and particulate N are optional yet desirable specifications of total nitrogen.</t>
  </si>
  <si>
    <t>c8ebc911-268a-4dfe-a426-73e1e35b587a</t>
  </si>
  <si>
    <t>mass concentration, dissolved nitrite NO2 as N</t>
  </si>
  <si>
    <t>Mass concentration of dissolved nitrite NO2 (CAS 014797-65-0) as N. Note that dissolved and particulate N are optional yet desirable specifications of total nitrogen.</t>
  </si>
  <si>
    <t>88c9f622-8451-41aa-98b0-c56b191a7e0a</t>
  </si>
  <si>
    <t>mass concentration, particulate nitrogen</t>
  </si>
  <si>
    <t>Mass concentration of particulate nitrogen as N. Note that dissolved and particulate N are optional yet desirable specifications of total nitrogen.</t>
  </si>
  <si>
    <t>cbc4a2c2-1710-4e6c-9b90-e1e72819d7b9</t>
  </si>
  <si>
    <t>mass concentration, dissolved organic nitrogen as N</t>
  </si>
  <si>
    <t>Mass concentration of dissolved organic nitrogen as N. Note that dissolved and particulate N are optional yet desirable specifications of total nitrogen.</t>
  </si>
  <si>
    <t>Carbon</t>
  </si>
  <si>
    <t>Sulfur</t>
  </si>
  <si>
    <t>Nitrogen</t>
  </si>
  <si>
    <t>Phosphorus</t>
  </si>
  <si>
    <t>other</t>
  </si>
  <si>
    <t>Boron  B</t>
  </si>
  <si>
    <t>Chlorine  Cl</t>
  </si>
  <si>
    <t>Bromium  Br</t>
  </si>
  <si>
    <t>Fluorine  F</t>
  </si>
  <si>
    <t>Iodine  I</t>
  </si>
  <si>
    <t>Silver  Ag</t>
  </si>
  <si>
    <t>Arsenic  As</t>
  </si>
  <si>
    <t>Barium  Ba</t>
  </si>
  <si>
    <t>Cadmium  Cd</t>
  </si>
  <si>
    <t>Cobalt  Co</t>
  </si>
  <si>
    <t>Chromium  Cr</t>
  </si>
  <si>
    <t>Copper  Cu</t>
  </si>
  <si>
    <t>Mercury  Hg</t>
  </si>
  <si>
    <t>Manganese  Mn</t>
  </si>
  <si>
    <t>Molybdenum  Mo</t>
  </si>
  <si>
    <t>Nickel  Ni</t>
  </si>
  <si>
    <t>Lead  Pb</t>
  </si>
  <si>
    <t>Antimony  Sb</t>
  </si>
  <si>
    <t>Selenium  Se</t>
  </si>
  <si>
    <t>Tin  Sn</t>
  </si>
  <si>
    <t>Vanadium  V</t>
  </si>
  <si>
    <t>Zinc  Zn</t>
  </si>
  <si>
    <t>Beryllium  Be</t>
  </si>
  <si>
    <t>Scandium  Sc</t>
  </si>
  <si>
    <t>Strontium  Sr</t>
  </si>
  <si>
    <t>Titanium  Ti</t>
  </si>
  <si>
    <t>Thallium  Tl</t>
  </si>
  <si>
    <t>Tungsten  W</t>
  </si>
  <si>
    <t>Silicon  Si</t>
  </si>
  <si>
    <t>Iron  Fe</t>
  </si>
  <si>
    <t>Calcium  Ca</t>
  </si>
  <si>
    <t>Aluminium  Al</t>
  </si>
  <si>
    <t>Potassium  K</t>
  </si>
  <si>
    <t>Magnesium  Mg</t>
  </si>
  <si>
    <t>Sodium  Na</t>
  </si>
  <si>
    <t>f04a971d-f503-4ca0-b2b1-0ecd2e53ea61</t>
  </si>
  <si>
    <t>mass concentration, nitrogen</t>
  </si>
  <si>
    <t>Mass concentration of nitrogen (Ntot.) as N</t>
  </si>
  <si>
    <t>7fe01cf6-6e7b-487f-b37e-32388640a8a4</t>
  </si>
  <si>
    <t>mass concentration, dissolved phosphate PO4 as P</t>
  </si>
  <si>
    <t>Mass concentration of Dissolved Phosphate PO4 as P. Note that dissolved and particulate P are optional yet desirable specifications of total phosphorous.</t>
  </si>
  <si>
    <t>c0447419-7139-44fe-a855-ea71e2b78585</t>
  </si>
  <si>
    <t>mass concentration, boron</t>
  </si>
  <si>
    <t>Mass concentration of Boron.    (CAS 007440-42-8)</t>
  </si>
  <si>
    <t>468e50e8-1960-4eba-bc1a-a9938a301694</t>
  </si>
  <si>
    <t>mass concentration, chlorine</t>
  </si>
  <si>
    <t>Mass concentration of Chlorine.    (CAS 007782-50-5)</t>
  </si>
  <si>
    <t>e4504511-88b5-4b01-a537-e049f056668c</t>
  </si>
  <si>
    <t>mass concentration, bromine</t>
  </si>
  <si>
    <t>Mass concentration of Bromine.    (CAS 007726-95-6)</t>
  </si>
  <si>
    <t>763a698f-54d7-4e2a-84a7-9cc8c0271b6a</t>
  </si>
  <si>
    <t>mass concentration, fluorine</t>
  </si>
  <si>
    <t>Mass concentration of Fluorine.    (CAS 007782-41-4)</t>
  </si>
  <si>
    <t>e9164ff3-fd2d-4050-895d-0e0a42317be2</t>
  </si>
  <si>
    <t>mass concentration, iodine</t>
  </si>
  <si>
    <t>Mass concentration of Iodine.    (CAS 007553-56-2)</t>
  </si>
  <si>
    <t>dcdc6c7b-0b72-4174-bc90-f51ed66426d5</t>
  </si>
  <si>
    <t>mass concentration, silver</t>
  </si>
  <si>
    <t>Mass concentration of Silver.    (CAS 007440-22-4)</t>
  </si>
  <si>
    <t>b321f120-4db7-4e7c-a196-82a231023052</t>
  </si>
  <si>
    <t>mass concentration, arsenic</t>
  </si>
  <si>
    <t>Mass concentration of Arsenic.    (CAS 007440-38-2)</t>
  </si>
  <si>
    <t>1111ac7e-20df-4ab4-9e02-57821894372c</t>
  </si>
  <si>
    <t>mass concentration, cadmium</t>
  </si>
  <si>
    <t>Mass concentration of Cadmium.    (CAS 007440-43-9)</t>
  </si>
  <si>
    <t>2f7030b9-bafc-4b43-8504-deb8b5044130</t>
  </si>
  <si>
    <t>mass concentration, cobalt</t>
  </si>
  <si>
    <t>Mass concentration of Cobalt.    (CAS 007440-48-4)</t>
  </si>
  <si>
    <t>bca4bb32-f701-46bb-ba1e-bad477c19f7f</t>
  </si>
  <si>
    <t>mass concentration, chromium</t>
  </si>
  <si>
    <t>Mass concentration of Chromium.    (CAS 007440-47-3)</t>
  </si>
  <si>
    <t>e7451d8a-77af-44e0-86cf-ccd17ac84509</t>
  </si>
  <si>
    <t>mass concentration, copper</t>
  </si>
  <si>
    <t>Mass concentration of Copper.    (CAS 007440-50-8)</t>
  </si>
  <si>
    <t>a102e6f8-ebc7-450b-a39b-794be96558b7</t>
  </si>
  <si>
    <t>mass concentration, mercury</t>
  </si>
  <si>
    <t>Mass concentration of Mercury.    (CAS 007439-97-6)</t>
  </si>
  <si>
    <t>aa897226-0a91-40e5-aa05-4bae3b9e4213</t>
  </si>
  <si>
    <t>mass concentration, molybdenum</t>
  </si>
  <si>
    <t>Mass concentration of Molybdenum.    (CAS 007439-98-7)</t>
  </si>
  <si>
    <t>8b574e85-ff07-46bf-a753-f1271299dcf7</t>
  </si>
  <si>
    <t>mass concentration, nickel</t>
  </si>
  <si>
    <t>Mass concentration of Nickel.    (CAS 007440-02-0)</t>
  </si>
  <si>
    <t>71bc04b9-abfe-4f30-ab8f-ba654c7ad296</t>
  </si>
  <si>
    <t>mass concentration, lead</t>
  </si>
  <si>
    <t>Mass concentration of Lead.    (CAS 007439-92-1)</t>
  </si>
  <si>
    <t>3759d833-560a-4dbb-949e-afc63c0ade26</t>
  </si>
  <si>
    <t>mass concentration, antimony</t>
  </si>
  <si>
    <t>Mass concentration of Antimony.    (CAS 007440-36-0)</t>
  </si>
  <si>
    <t>c35265a9-fd3e-468c-af8e-f4e020c38fc0</t>
  </si>
  <si>
    <t>mass concentration, selenium</t>
  </si>
  <si>
    <t>Mass concentration of Selenium.    (CAS 007782-49-2)</t>
  </si>
  <si>
    <t>ff888459-10c3-4700-afce-3a024aaf89cf</t>
  </si>
  <si>
    <t>mass concentration, tin</t>
  </si>
  <si>
    <t>Mass concentration of Tin.    (CAS 007440-31-5)</t>
  </si>
  <si>
    <t>0b686a86-c506-4ad3-81fd-c3f39f05247d</t>
  </si>
  <si>
    <t>mass concentration, vanadium</t>
  </si>
  <si>
    <t>Mass concentration of Vanadium.    (CAS 007440-62-2)</t>
  </si>
  <si>
    <t>6cc518c8-4769-40df-b2cf-03f9fe00b759</t>
  </si>
  <si>
    <t>mass concentration, zinc</t>
  </si>
  <si>
    <t>Mass concentration of Zinc.    (CAS 007440-66-6)</t>
  </si>
  <si>
    <t>d21c7c5c-b2c2-43ae-8575-c377cc0b0495</t>
  </si>
  <si>
    <t>mass concentration, beryllium</t>
  </si>
  <si>
    <t>Mass concentration of Beryllium.    (CAS 007440-41-7)</t>
  </si>
  <si>
    <t>1325d7f9-2fe2-4226-9304-ad9e5371e08f</t>
  </si>
  <si>
    <t>mass concentration, scandium</t>
  </si>
  <si>
    <t>Mass concentration of Scandium.    (CAS 007440-20-2)</t>
  </si>
  <si>
    <t>d574cc22-07f2-4202-b564-1116ab197692</t>
  </si>
  <si>
    <t>mass concentration, strontium</t>
  </si>
  <si>
    <t>Mass concentration of Strontium.    (CAS 007440-24-6)</t>
  </si>
  <si>
    <t>abc78955-bd5f-4b1a-9607-0448dd75ebf2</t>
  </si>
  <si>
    <t>mass concentration, titanium</t>
  </si>
  <si>
    <t>Mass concentration of Titanium.    (CAS 007440-32-6)</t>
  </si>
  <si>
    <t>79baac3d-9e62-45ef-8f41-440dea32f11f</t>
  </si>
  <si>
    <t>mass concentration, thallium</t>
  </si>
  <si>
    <t>Mass concentration of Thallium.    (CAS 007440-28-0)</t>
  </si>
  <si>
    <t>058d6d50-172b-4a8a-97da-0cee759eca7d</t>
  </si>
  <si>
    <t>mass concentration, tungsten</t>
  </si>
  <si>
    <t>Mass concentration of Tungsten.    (CAS 007440-33-7)</t>
  </si>
  <si>
    <t>67065577-4705-4ece-a892-6dd1d7ecd1e5</t>
  </si>
  <si>
    <t>mass concentration, silicon</t>
  </si>
  <si>
    <t>Mass concentration of Silicon.    (CAS 007440-21-3)</t>
  </si>
  <si>
    <t>ebf21bca-b7cf-45d0-9d82-bfb80519a970</t>
  </si>
  <si>
    <t>mass concentration, iron</t>
  </si>
  <si>
    <t>Mass concentration of Iron.    (CAS 007439-89-6)</t>
  </si>
  <si>
    <t>ddbab0d1-b156-41bc-98e5-fb680285d7cd</t>
  </si>
  <si>
    <t>mass concentration, calcium</t>
  </si>
  <si>
    <t>Mass concentration of Calcium.    (CAS 007440-70-2)</t>
  </si>
  <si>
    <t>77154d2e-4b05-48f2-a89a-789acd170497</t>
  </si>
  <si>
    <t>mass concentration, aluminium</t>
  </si>
  <si>
    <t>Mass concentration of Aluminium.    (CAS 007429-90-5)</t>
  </si>
  <si>
    <t>8b49eeb7-9caf-4101-b516-eb0aef30d530</t>
  </si>
  <si>
    <t>mass concentration, potassium</t>
  </si>
  <si>
    <t>Mass concentration of Potassium.    (CAS 007440-09-7)</t>
  </si>
  <si>
    <t>d26c0a60-86aa-41c8-80ee-3acabc4a5095</t>
  </si>
  <si>
    <t>mass concentration, magnesium</t>
  </si>
  <si>
    <t>Mass concentration of Magnesium.    (CAS 007439-95-4)</t>
  </si>
  <si>
    <t>7b656e1b-bc07-41cd-bad4-a5b51b6287da</t>
  </si>
  <si>
    <t>mass concentration, sodium</t>
  </si>
  <si>
    <t>Mass concentration of Sodium.    (CAS 007440-23-5)</t>
  </si>
  <si>
    <t>id</t>
  </si>
  <si>
    <t>name</t>
  </si>
  <si>
    <t>unitName</t>
  </si>
  <si>
    <t>comment</t>
  </si>
  <si>
    <t>2.2_name</t>
  </si>
  <si>
    <t>33976f6b-2575-4410-8f60-d421bdf3e554</t>
  </si>
  <si>
    <t>mass concentration, barium</t>
  </si>
  <si>
    <t>Mass concentration of Barium.    (CAS 007440-39-3)</t>
  </si>
  <si>
    <t>8d27623b-147c-44e8-93cc-2183eac22991</t>
  </si>
  <si>
    <t>mass concentration, manganese</t>
  </si>
  <si>
    <t>Mass concentration of Manganese.    (CAS 007439-96-5)</t>
  </si>
  <si>
    <t>MISSING__Particulate P-part. as P</t>
  </si>
  <si>
    <t>MISSING__Total P-tot. as P</t>
  </si>
  <si>
    <t>Group</t>
  </si>
  <si>
    <t>Particulate P-part. as P</t>
  </si>
  <si>
    <t>Total P-tot. as P</t>
  </si>
  <si>
    <t>Soluble Kjeldahl SKN as N</t>
  </si>
  <si>
    <t>Total Kjeldahl TKN as N</t>
  </si>
  <si>
    <r>
      <t xml:space="preserve">Chemical Oxygen Demand </t>
    </r>
    <r>
      <rPr>
        <sz val="11"/>
        <rFont val="Arial"/>
        <family val="2"/>
      </rPr>
      <t>COD as O2</t>
    </r>
  </si>
  <si>
    <r>
      <t xml:space="preserve">Biological Oxygen Demand </t>
    </r>
    <r>
      <rPr>
        <sz val="11"/>
        <rFont val="Arial"/>
        <family val="2"/>
      </rPr>
      <t>BOD5 as O2</t>
    </r>
  </si>
  <si>
    <r>
      <t xml:space="preserve">Dissolved organic carbon </t>
    </r>
    <r>
      <rPr>
        <sz val="11"/>
        <rFont val="Arial"/>
        <family val="2"/>
      </rPr>
      <t>DOC as C</t>
    </r>
  </si>
  <si>
    <r>
      <t xml:space="preserve">Total organic carbon </t>
    </r>
    <r>
      <rPr>
        <sz val="11"/>
        <rFont val="Arial"/>
        <family val="2"/>
      </rPr>
      <t>TOC as C</t>
    </r>
  </si>
  <si>
    <r>
      <t xml:space="preserve">Sulfate </t>
    </r>
    <r>
      <rPr>
        <sz val="11"/>
        <rFont val="Arial"/>
        <family val="2"/>
      </rPr>
      <t>SO4 as S</t>
    </r>
  </si>
  <si>
    <r>
      <t xml:space="preserve">Particulate </t>
    </r>
    <r>
      <rPr>
        <sz val="11"/>
        <rFont val="Arial"/>
        <family val="2"/>
      </rPr>
      <t>S part as S</t>
    </r>
  </si>
  <si>
    <r>
      <t>Total</t>
    </r>
    <r>
      <rPr>
        <sz val="11"/>
        <rFont val="Arial"/>
        <family val="2"/>
      </rPr>
      <t xml:space="preserve"> S tot. as S</t>
    </r>
  </si>
  <si>
    <r>
      <t xml:space="preserve">Ammonia </t>
    </r>
    <r>
      <rPr>
        <sz val="11"/>
        <rFont val="Arial"/>
        <family val="2"/>
      </rPr>
      <t>NH4 as N</t>
    </r>
  </si>
  <si>
    <r>
      <t xml:space="preserve">Nitrate </t>
    </r>
    <r>
      <rPr>
        <sz val="11"/>
        <rFont val="Arial"/>
        <family val="2"/>
      </rPr>
      <t>NO3 as N</t>
    </r>
  </si>
  <si>
    <r>
      <t xml:space="preserve">Nitite </t>
    </r>
    <r>
      <rPr>
        <sz val="11"/>
        <rFont val="Arial"/>
        <family val="2"/>
      </rPr>
      <t>NO2 as N</t>
    </r>
  </si>
  <si>
    <r>
      <t>Patriculate</t>
    </r>
    <r>
      <rPr>
        <sz val="11"/>
        <rFont val="Arial"/>
        <family val="2"/>
      </rPr>
      <t xml:space="preserve"> N part. as N</t>
    </r>
  </si>
  <si>
    <r>
      <t xml:space="preserve">Organic soluble </t>
    </r>
    <r>
      <rPr>
        <sz val="11"/>
        <rFont val="Arial"/>
        <family val="2"/>
      </rPr>
      <t>N org. solv. as N</t>
    </r>
  </si>
  <si>
    <r>
      <t xml:space="preserve">Total Nitrogen </t>
    </r>
    <r>
      <rPr>
        <sz val="11"/>
        <rFont val="Arial"/>
        <family val="2"/>
      </rPr>
      <t>N-tot. as N</t>
    </r>
  </si>
  <si>
    <r>
      <t xml:space="preserve">Phosphate </t>
    </r>
    <r>
      <rPr>
        <sz val="11"/>
        <rFont val="Arial"/>
        <family val="2"/>
      </rPr>
      <t>PO4 as P</t>
    </r>
  </si>
  <si>
    <t>Boron</t>
  </si>
  <si>
    <t>Chlorine</t>
  </si>
  <si>
    <t>Bromine</t>
  </si>
  <si>
    <t>Silver, ion</t>
  </si>
  <si>
    <t>Arsenic, ion</t>
  </si>
  <si>
    <t>Barium</t>
  </si>
  <si>
    <t>Cadmium, ion</t>
  </si>
  <si>
    <t>Cobalt</t>
  </si>
  <si>
    <t>Chromium, ion</t>
  </si>
  <si>
    <t>Copper, ion</t>
  </si>
  <si>
    <t>Mercury</t>
  </si>
  <si>
    <t>Manganese</t>
  </si>
  <si>
    <t>Molybdenum</t>
  </si>
  <si>
    <t>Nickel, ion</t>
  </si>
  <si>
    <t>Lead</t>
  </si>
  <si>
    <t>Antimony</t>
  </si>
  <si>
    <t>Selenium</t>
  </si>
  <si>
    <t>Tin, ion</t>
  </si>
  <si>
    <t>Vanadium, ion</t>
  </si>
  <si>
    <t>Zinc, ion</t>
  </si>
  <si>
    <t>Beryllium</t>
  </si>
  <si>
    <t>Scandium</t>
  </si>
  <si>
    <t>Strontium</t>
  </si>
  <si>
    <t>Titanium, ion</t>
  </si>
  <si>
    <t>Thallium</t>
  </si>
  <si>
    <t>Tungsten</t>
  </si>
  <si>
    <t>Silicon</t>
  </si>
  <si>
    <t>Iron, ion</t>
  </si>
  <si>
    <t>Calcium, ion</t>
  </si>
  <si>
    <t>Aluminium</t>
  </si>
  <si>
    <t>Potassium, ion</t>
  </si>
  <si>
    <t>Magnesium</t>
  </si>
  <si>
    <t>Sodium, ion</t>
  </si>
  <si>
    <t>Iodide</t>
  </si>
  <si>
    <t>Verify correct correspondance</t>
  </si>
  <si>
    <t>Fluoride</t>
  </si>
  <si>
    <t>Corresp. direct water emission</t>
  </si>
  <si>
    <t>BOD5, Biological Oxygen Demand</t>
  </si>
  <si>
    <t>COD, Chemical Oxygen Demand</t>
  </si>
  <si>
    <t>DOC, Dissolved Organic Carbon</t>
  </si>
  <si>
    <t>TOC, Total Organic Carbon</t>
  </si>
  <si>
    <t>Sulfate</t>
  </si>
  <si>
    <t>Nitrate</t>
  </si>
  <si>
    <t>Other species for N?</t>
  </si>
  <si>
    <t>Other species for S?</t>
  </si>
  <si>
    <t>Other species for P?</t>
  </si>
  <si>
    <t>Phosphate</t>
  </si>
  <si>
    <t>Correct speciation?</t>
  </si>
  <si>
    <t>Corresp. direct water emission comment for ICRA</t>
  </si>
  <si>
    <t>0f205308-d33a-430b-b3ec-b62bef311f2f</t>
  </si>
  <si>
    <t>mass concentration, particulate phophorus</t>
  </si>
  <si>
    <t>Mass concentration of Particulate Phophorus as P. Note that dissolved and particulate P are optional yet desirable specifications of total phosphorous.</t>
  </si>
  <si>
    <t>8e73d3fb-bb81-4c42-bfa6-8be4ff13125d</t>
  </si>
  <si>
    <t>mass concentration, phophorus</t>
  </si>
  <si>
    <t>Mass concentration of Phophorus as P (Ptot.)</t>
  </si>
  <si>
    <t>mass concentration, dissolved Kjeldahl Nitrogen as N</t>
  </si>
  <si>
    <t>mass concentration, Kjeldahl Nitrogen as N</t>
  </si>
  <si>
    <t>Mass concentration of dissolved Kjeldahl (SKN) as N. Note that dissolved Kjeldahl Nitrogen is an optional yet desirable specification of total Kjeldahl Nitrogen.</t>
  </si>
  <si>
    <t>Mass concentration of total Kjeldahl (TKN) as N. Note that dissolved Kjeldahl Nitrogen is an optional yet desirable specification of total Kjeldahl Nitrogen.</t>
  </si>
  <si>
    <t>fc0b5c85-3b49-42c2-a3fd-db7e57b696e3</t>
  </si>
  <si>
    <t>Factor</t>
  </si>
  <si>
    <t>70d467b6-115e-43c5-add2-441de9411348</t>
  </si>
  <si>
    <t>960c0f37-f34c-4fc1-b77c-22d8b35fd8d5</t>
  </si>
  <si>
    <t>f65558fb-61a1-4e48-b4f2-60d62f14b085</t>
  </si>
  <si>
    <t>7ce56135-2ca5-4fba-ad52-d62a34bfeb35</t>
  </si>
  <si>
    <t>NO LONGER REQUESTED</t>
  </si>
  <si>
    <t>COD</t>
  </si>
  <si>
    <t>sCOD</t>
  </si>
  <si>
    <t>bCOD</t>
  </si>
  <si>
    <t>rbCOD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</si>
</sst>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Font="1"/>
    <xf numFmtId="0" fontId="3" fillId="0" borderId="0" xfId="0" applyFont="1"/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tabSelected="1" topLeftCell="B1" workbookViewId="0">
      <selection activeCell="G2" sqref="G2"/>
    </sheetView>
  </sheetViews>
  <sheetFormatPr defaultRowHeight="14.4" x14ac:dyDescent="0.55000000000000004"/>
  <cols>
    <col min="2" max="2" width="32" customWidth="1"/>
    <col min="4" max="4" width="39.62890625" customWidth="1"/>
    <col min="5" max="5" width="10.20703125" customWidth="1"/>
    <col min="6" max="6" width="35.89453125" bestFit="1" customWidth="1"/>
  </cols>
  <sheetData>
    <row r="1" spans="1:11" x14ac:dyDescent="0.55000000000000004">
      <c r="A1" s="1" t="s">
        <v>182</v>
      </c>
      <c r="B1" s="1" t="s">
        <v>183</v>
      </c>
      <c r="C1" s="1" t="s">
        <v>184</v>
      </c>
      <c r="D1" s="1" t="s">
        <v>185</v>
      </c>
      <c r="E1" s="2" t="s">
        <v>195</v>
      </c>
      <c r="F1" s="2" t="s">
        <v>186</v>
      </c>
      <c r="G1" s="5" t="s">
        <v>250</v>
      </c>
      <c r="H1" s="5"/>
      <c r="I1" s="5" t="s">
        <v>274</v>
      </c>
      <c r="J1" s="5" t="s">
        <v>262</v>
      </c>
    </row>
    <row r="2" spans="1:11" x14ac:dyDescent="0.55000000000000004">
      <c r="A2" t="s">
        <v>0</v>
      </c>
      <c r="B2" t="s">
        <v>1</v>
      </c>
      <c r="C2" t="s">
        <v>2</v>
      </c>
      <c r="D2" t="s">
        <v>3</v>
      </c>
      <c r="E2" t="s">
        <v>37</v>
      </c>
      <c r="F2" s="3" t="s">
        <v>200</v>
      </c>
      <c r="G2" s="4" t="s">
        <v>251</v>
      </c>
      <c r="H2" t="s">
        <v>275</v>
      </c>
      <c r="I2" s="4">
        <v>1</v>
      </c>
    </row>
    <row r="3" spans="1:11" x14ac:dyDescent="0.55000000000000004">
      <c r="A3" t="s">
        <v>4</v>
      </c>
      <c r="B3" t="s">
        <v>5</v>
      </c>
      <c r="C3" t="s">
        <v>2</v>
      </c>
      <c r="D3" t="s">
        <v>6</v>
      </c>
      <c r="E3" t="s">
        <v>37</v>
      </c>
      <c r="F3" s="3" t="s">
        <v>201</v>
      </c>
      <c r="G3" s="4" t="s">
        <v>252</v>
      </c>
      <c r="H3" t="s">
        <v>273</v>
      </c>
      <c r="I3" s="4">
        <v>1</v>
      </c>
    </row>
    <row r="4" spans="1:11" x14ac:dyDescent="0.55000000000000004">
      <c r="A4" t="s">
        <v>7</v>
      </c>
      <c r="B4" t="s">
        <v>8</v>
      </c>
      <c r="C4" t="s">
        <v>2</v>
      </c>
      <c r="D4" t="s">
        <v>9</v>
      </c>
      <c r="E4" t="s">
        <v>37</v>
      </c>
      <c r="F4" s="3" t="s">
        <v>202</v>
      </c>
      <c r="G4" s="4" t="s">
        <v>253</v>
      </c>
      <c r="H4" t="s">
        <v>276</v>
      </c>
      <c r="I4" s="4">
        <v>1</v>
      </c>
    </row>
    <row r="5" spans="1:11" x14ac:dyDescent="0.55000000000000004">
      <c r="A5" t="s">
        <v>10</v>
      </c>
      <c r="B5" t="s">
        <v>11</v>
      </c>
      <c r="C5" t="s">
        <v>2</v>
      </c>
      <c r="D5" t="s">
        <v>12</v>
      </c>
      <c r="E5" t="s">
        <v>37</v>
      </c>
      <c r="F5" s="3" t="s">
        <v>203</v>
      </c>
      <c r="G5" s="4" t="s">
        <v>254</v>
      </c>
      <c r="H5" t="s">
        <v>277</v>
      </c>
      <c r="I5" s="4">
        <v>1</v>
      </c>
    </row>
    <row r="6" spans="1:11" x14ac:dyDescent="0.55000000000000004">
      <c r="A6" t="s">
        <v>22</v>
      </c>
      <c r="B6" t="s">
        <v>23</v>
      </c>
      <c r="C6" t="s">
        <v>2</v>
      </c>
      <c r="D6" t="s">
        <v>24</v>
      </c>
      <c r="E6" t="s">
        <v>39</v>
      </c>
      <c r="F6" s="3" t="s">
        <v>207</v>
      </c>
      <c r="G6" s="4" t="s">
        <v>256</v>
      </c>
      <c r="H6" t="s">
        <v>278</v>
      </c>
      <c r="I6" s="4"/>
      <c r="J6" s="3" t="s">
        <v>257</v>
      </c>
    </row>
    <row r="7" spans="1:11" x14ac:dyDescent="0.55000000000000004">
      <c r="A7" t="s">
        <v>25</v>
      </c>
      <c r="B7" t="s">
        <v>26</v>
      </c>
      <c r="C7" t="s">
        <v>2</v>
      </c>
      <c r="D7" t="s">
        <v>27</v>
      </c>
      <c r="E7" t="s">
        <v>39</v>
      </c>
      <c r="F7" s="3" t="s">
        <v>208</v>
      </c>
      <c r="G7" s="4" t="s">
        <v>279</v>
      </c>
      <c r="I7" s="4"/>
      <c r="J7" s="3" t="s">
        <v>257</v>
      </c>
    </row>
    <row r="8" spans="1:11" x14ac:dyDescent="0.55000000000000004">
      <c r="A8" t="s">
        <v>28</v>
      </c>
      <c r="B8" t="s">
        <v>29</v>
      </c>
      <c r="C8" t="s">
        <v>2</v>
      </c>
      <c r="D8" t="s">
        <v>30</v>
      </c>
      <c r="E8" t="s">
        <v>39</v>
      </c>
      <c r="F8" s="3" t="s">
        <v>209</v>
      </c>
      <c r="G8" s="4" t="s">
        <v>279</v>
      </c>
      <c r="I8" s="4"/>
      <c r="J8" s="3" t="s">
        <v>257</v>
      </c>
    </row>
    <row r="9" spans="1:11" x14ac:dyDescent="0.55000000000000004">
      <c r="A9" t="s">
        <v>31</v>
      </c>
      <c r="B9" t="s">
        <v>32</v>
      </c>
      <c r="C9" t="s">
        <v>2</v>
      </c>
      <c r="D9" t="s">
        <v>33</v>
      </c>
      <c r="E9" t="s">
        <v>39</v>
      </c>
      <c r="F9" s="3" t="s">
        <v>210</v>
      </c>
      <c r="G9" s="4" t="s">
        <v>279</v>
      </c>
      <c r="I9" s="4"/>
      <c r="J9" s="3" t="s">
        <v>257</v>
      </c>
    </row>
    <row r="10" spans="1:11" x14ac:dyDescent="0.55000000000000004">
      <c r="A10" t="s">
        <v>34</v>
      </c>
      <c r="B10" t="s">
        <v>35</v>
      </c>
      <c r="C10" t="s">
        <v>2</v>
      </c>
      <c r="D10" t="s">
        <v>36</v>
      </c>
      <c r="E10" t="s">
        <v>39</v>
      </c>
      <c r="F10" s="3" t="s">
        <v>211</v>
      </c>
      <c r="G10" s="4" t="s">
        <v>279</v>
      </c>
      <c r="I10" s="4"/>
      <c r="J10" s="3" t="s">
        <v>257</v>
      </c>
    </row>
    <row r="11" spans="1:11" x14ac:dyDescent="0.55000000000000004">
      <c r="A11" t="s">
        <v>77</v>
      </c>
      <c r="B11" t="s">
        <v>78</v>
      </c>
      <c r="C11" t="s">
        <v>2</v>
      </c>
      <c r="D11" t="s">
        <v>79</v>
      </c>
      <c r="E11" t="s">
        <v>39</v>
      </c>
      <c r="F11" s="3" t="s">
        <v>212</v>
      </c>
      <c r="G11" s="4" t="s">
        <v>279</v>
      </c>
      <c r="I11" s="4"/>
      <c r="J11" s="3" t="s">
        <v>257</v>
      </c>
    </row>
    <row r="12" spans="1:11" x14ac:dyDescent="0.55000000000000004">
      <c r="A12" t="s">
        <v>193</v>
      </c>
      <c r="B12" t="s">
        <v>269</v>
      </c>
      <c r="C12" t="s">
        <v>2</v>
      </c>
      <c r="D12" t="s">
        <v>271</v>
      </c>
      <c r="E12" t="s">
        <v>39</v>
      </c>
      <c r="F12" s="3" t="s">
        <v>198</v>
      </c>
      <c r="G12" s="4" t="s">
        <v>279</v>
      </c>
      <c r="I12" s="4"/>
      <c r="J12" s="3" t="s">
        <v>257</v>
      </c>
    </row>
    <row r="13" spans="1:11" x14ac:dyDescent="0.55000000000000004">
      <c r="A13" t="s">
        <v>194</v>
      </c>
      <c r="B13" s="3" t="s">
        <v>270</v>
      </c>
      <c r="C13" t="s">
        <v>2</v>
      </c>
      <c r="D13" t="s">
        <v>272</v>
      </c>
      <c r="E13" t="s">
        <v>39</v>
      </c>
      <c r="F13" s="3" t="s">
        <v>199</v>
      </c>
      <c r="G13" s="4" t="s">
        <v>256</v>
      </c>
      <c r="H13" t="s">
        <v>278</v>
      </c>
      <c r="I13" s="4"/>
      <c r="J13" s="3" t="s">
        <v>257</v>
      </c>
    </row>
    <row r="14" spans="1:11" x14ac:dyDescent="0.55000000000000004">
      <c r="A14" t="s">
        <v>83</v>
      </c>
      <c r="B14" t="s">
        <v>84</v>
      </c>
      <c r="C14" t="s">
        <v>2</v>
      </c>
      <c r="D14" t="s">
        <v>85</v>
      </c>
      <c r="E14" t="s">
        <v>41</v>
      </c>
      <c r="F14" s="3" t="s">
        <v>42</v>
      </c>
      <c r="G14" s="4" t="s">
        <v>214</v>
      </c>
      <c r="H14" s="4"/>
      <c r="I14" s="4"/>
      <c r="J14" s="4"/>
    </row>
    <row r="15" spans="1:11" x14ac:dyDescent="0.55000000000000004">
      <c r="A15" t="s">
        <v>86</v>
      </c>
      <c r="B15" t="s">
        <v>87</v>
      </c>
      <c r="C15" t="s">
        <v>2</v>
      </c>
      <c r="D15" t="s">
        <v>88</v>
      </c>
      <c r="E15" t="s">
        <v>41</v>
      </c>
      <c r="F15" s="3" t="s">
        <v>43</v>
      </c>
      <c r="G15" s="4" t="s">
        <v>215</v>
      </c>
      <c r="H15" s="4"/>
      <c r="I15" s="4"/>
      <c r="J15" s="4"/>
    </row>
    <row r="16" spans="1:11" x14ac:dyDescent="0.55000000000000004">
      <c r="A16" t="s">
        <v>89</v>
      </c>
      <c r="B16" t="s">
        <v>90</v>
      </c>
      <c r="C16" t="s">
        <v>2</v>
      </c>
      <c r="D16" t="s">
        <v>91</v>
      </c>
      <c r="E16" t="s">
        <v>41</v>
      </c>
      <c r="F16" s="3" t="s">
        <v>44</v>
      </c>
      <c r="G16" s="4" t="s">
        <v>216</v>
      </c>
      <c r="H16" s="4"/>
      <c r="I16" s="4"/>
      <c r="J16" s="4"/>
      <c r="K16" s="4"/>
    </row>
    <row r="17" spans="1:12" x14ac:dyDescent="0.55000000000000004">
      <c r="A17" t="s">
        <v>92</v>
      </c>
      <c r="B17" t="s">
        <v>93</v>
      </c>
      <c r="C17" t="s">
        <v>2</v>
      </c>
      <c r="D17" t="s">
        <v>94</v>
      </c>
      <c r="E17" t="s">
        <v>41</v>
      </c>
      <c r="F17" s="3" t="s">
        <v>45</v>
      </c>
      <c r="G17" s="4" t="s">
        <v>249</v>
      </c>
      <c r="H17" s="4"/>
      <c r="I17" s="4"/>
      <c r="J17" s="4" t="s">
        <v>248</v>
      </c>
      <c r="K17" s="4"/>
    </row>
    <row r="18" spans="1:12" x14ac:dyDescent="0.55000000000000004">
      <c r="A18" t="s">
        <v>95</v>
      </c>
      <c r="B18" t="s">
        <v>96</v>
      </c>
      <c r="C18" t="s">
        <v>2</v>
      </c>
      <c r="D18" t="s">
        <v>97</v>
      </c>
      <c r="E18" t="s">
        <v>41</v>
      </c>
      <c r="F18" s="3" t="s">
        <v>46</v>
      </c>
      <c r="G18" s="4" t="s">
        <v>247</v>
      </c>
      <c r="H18" s="4"/>
      <c r="I18" s="4"/>
      <c r="J18" s="4" t="s">
        <v>248</v>
      </c>
      <c r="K18" s="4"/>
    </row>
    <row r="19" spans="1:12" x14ac:dyDescent="0.55000000000000004">
      <c r="A19" t="s">
        <v>98</v>
      </c>
      <c r="B19" t="s">
        <v>99</v>
      </c>
      <c r="C19" t="s">
        <v>2</v>
      </c>
      <c r="D19" t="s">
        <v>100</v>
      </c>
      <c r="E19" t="s">
        <v>41</v>
      </c>
      <c r="F19" s="3" t="s">
        <v>47</v>
      </c>
      <c r="G19" s="4" t="s">
        <v>217</v>
      </c>
      <c r="H19" s="4"/>
      <c r="I19" s="4"/>
      <c r="J19" s="4"/>
      <c r="K19" s="4"/>
      <c r="L19" s="4"/>
    </row>
    <row r="20" spans="1:12" x14ac:dyDescent="0.55000000000000004">
      <c r="A20" t="s">
        <v>101</v>
      </c>
      <c r="B20" t="s">
        <v>102</v>
      </c>
      <c r="C20" t="s">
        <v>2</v>
      </c>
      <c r="D20" t="s">
        <v>103</v>
      </c>
      <c r="E20" t="s">
        <v>41</v>
      </c>
      <c r="F20" s="3" t="s">
        <v>48</v>
      </c>
      <c r="G20" s="4" t="s">
        <v>218</v>
      </c>
      <c r="H20" s="4"/>
      <c r="I20" s="4"/>
      <c r="J20" s="4"/>
      <c r="K20" s="4"/>
      <c r="L20" s="4"/>
    </row>
    <row r="21" spans="1:12" x14ac:dyDescent="0.55000000000000004">
      <c r="A21" t="s">
        <v>187</v>
      </c>
      <c r="B21" t="s">
        <v>188</v>
      </c>
      <c r="C21" t="s">
        <v>2</v>
      </c>
      <c r="D21" t="s">
        <v>189</v>
      </c>
      <c r="E21" t="s">
        <v>41</v>
      </c>
      <c r="F21" s="3" t="s">
        <v>49</v>
      </c>
      <c r="G21" s="4" t="s">
        <v>219</v>
      </c>
      <c r="H21" s="4"/>
      <c r="I21" s="4"/>
      <c r="J21" s="4"/>
      <c r="K21" s="4"/>
    </row>
    <row r="22" spans="1:12" x14ac:dyDescent="0.55000000000000004">
      <c r="A22" t="s">
        <v>104</v>
      </c>
      <c r="B22" t="s">
        <v>105</v>
      </c>
      <c r="C22" t="s">
        <v>2</v>
      </c>
      <c r="D22" t="s">
        <v>106</v>
      </c>
      <c r="E22" t="s">
        <v>41</v>
      </c>
      <c r="F22" s="3" t="s">
        <v>50</v>
      </c>
      <c r="G22" s="4" t="s">
        <v>220</v>
      </c>
      <c r="H22" s="4"/>
      <c r="I22" s="4"/>
      <c r="J22" s="4"/>
      <c r="K22" s="4"/>
    </row>
    <row r="23" spans="1:12" x14ac:dyDescent="0.55000000000000004">
      <c r="A23" t="s">
        <v>107</v>
      </c>
      <c r="B23" t="s">
        <v>108</v>
      </c>
      <c r="C23" t="s">
        <v>2</v>
      </c>
      <c r="D23" t="s">
        <v>109</v>
      </c>
      <c r="E23" t="s">
        <v>41</v>
      </c>
      <c r="F23" s="3" t="s">
        <v>51</v>
      </c>
      <c r="G23" s="4" t="s">
        <v>221</v>
      </c>
      <c r="H23" s="4"/>
      <c r="I23" s="4"/>
      <c r="J23" s="4"/>
      <c r="K23" s="4"/>
    </row>
    <row r="24" spans="1:12" x14ac:dyDescent="0.55000000000000004">
      <c r="A24" t="s">
        <v>110</v>
      </c>
      <c r="B24" t="s">
        <v>111</v>
      </c>
      <c r="C24" t="s">
        <v>2</v>
      </c>
      <c r="D24" t="s">
        <v>112</v>
      </c>
      <c r="E24" t="s">
        <v>41</v>
      </c>
      <c r="F24" s="3" t="s">
        <v>52</v>
      </c>
      <c r="G24" s="4" t="s">
        <v>222</v>
      </c>
      <c r="H24" s="4"/>
      <c r="I24" s="4"/>
      <c r="J24" s="4" t="s">
        <v>261</v>
      </c>
      <c r="K24" s="4"/>
    </row>
    <row r="25" spans="1:12" x14ac:dyDescent="0.55000000000000004">
      <c r="A25" t="s">
        <v>113</v>
      </c>
      <c r="B25" t="s">
        <v>114</v>
      </c>
      <c r="C25" t="s">
        <v>2</v>
      </c>
      <c r="D25" t="s">
        <v>115</v>
      </c>
      <c r="E25" t="s">
        <v>41</v>
      </c>
      <c r="F25" s="3" t="s">
        <v>53</v>
      </c>
      <c r="G25" s="4" t="s">
        <v>223</v>
      </c>
      <c r="H25" s="4"/>
      <c r="I25" s="4"/>
      <c r="J25" s="4"/>
      <c r="K25" s="4"/>
    </row>
    <row r="26" spans="1:12" x14ac:dyDescent="0.55000000000000004">
      <c r="A26" t="s">
        <v>116</v>
      </c>
      <c r="B26" t="s">
        <v>117</v>
      </c>
      <c r="C26" t="s">
        <v>2</v>
      </c>
      <c r="D26" t="s">
        <v>118</v>
      </c>
      <c r="E26" t="s">
        <v>41</v>
      </c>
      <c r="F26" s="3" t="s">
        <v>54</v>
      </c>
      <c r="G26" s="4" t="s">
        <v>224</v>
      </c>
      <c r="H26" s="4"/>
      <c r="I26" s="4"/>
      <c r="J26" s="4"/>
      <c r="K26" s="4"/>
    </row>
    <row r="27" spans="1:12" x14ac:dyDescent="0.55000000000000004">
      <c r="A27" t="s">
        <v>190</v>
      </c>
      <c r="B27" t="s">
        <v>191</v>
      </c>
      <c r="C27" t="s">
        <v>2</v>
      </c>
      <c r="D27" t="s">
        <v>192</v>
      </c>
      <c r="E27" t="s">
        <v>41</v>
      </c>
      <c r="F27" s="3" t="s">
        <v>55</v>
      </c>
      <c r="G27" s="4" t="s">
        <v>225</v>
      </c>
      <c r="H27" s="4"/>
      <c r="I27" s="4"/>
      <c r="J27" s="4"/>
      <c r="K27" s="4"/>
    </row>
    <row r="28" spans="1:12" x14ac:dyDescent="0.55000000000000004">
      <c r="A28" t="s">
        <v>119</v>
      </c>
      <c r="B28" t="s">
        <v>120</v>
      </c>
      <c r="C28" t="s">
        <v>2</v>
      </c>
      <c r="D28" t="s">
        <v>121</v>
      </c>
      <c r="E28" t="s">
        <v>41</v>
      </c>
      <c r="F28" s="3" t="s">
        <v>56</v>
      </c>
      <c r="G28" s="4" t="s">
        <v>226</v>
      </c>
      <c r="H28" s="4"/>
      <c r="I28" s="4"/>
      <c r="J28" s="4"/>
      <c r="K28" s="4"/>
    </row>
    <row r="29" spans="1:12" x14ac:dyDescent="0.55000000000000004">
      <c r="A29" t="s">
        <v>122</v>
      </c>
      <c r="B29" t="s">
        <v>123</v>
      </c>
      <c r="C29" t="s">
        <v>2</v>
      </c>
      <c r="D29" t="s">
        <v>124</v>
      </c>
      <c r="E29" t="s">
        <v>41</v>
      </c>
      <c r="F29" s="3" t="s">
        <v>57</v>
      </c>
      <c r="G29" s="4" t="s">
        <v>227</v>
      </c>
      <c r="H29" s="4"/>
      <c r="I29" s="4"/>
      <c r="J29" s="4"/>
      <c r="K29" s="4"/>
    </row>
    <row r="30" spans="1:12" x14ac:dyDescent="0.55000000000000004">
      <c r="A30" t="s">
        <v>125</v>
      </c>
      <c r="B30" t="s">
        <v>126</v>
      </c>
      <c r="C30" t="s">
        <v>2</v>
      </c>
      <c r="D30" t="s">
        <v>127</v>
      </c>
      <c r="E30" t="s">
        <v>41</v>
      </c>
      <c r="F30" s="3" t="s">
        <v>58</v>
      </c>
      <c r="G30" s="4" t="s">
        <v>228</v>
      </c>
      <c r="H30" s="4"/>
      <c r="I30" s="4"/>
      <c r="J30" s="4"/>
      <c r="K30" s="4"/>
    </row>
    <row r="31" spans="1:12" x14ac:dyDescent="0.55000000000000004">
      <c r="A31" t="s">
        <v>128</v>
      </c>
      <c r="B31" t="s">
        <v>129</v>
      </c>
      <c r="C31" t="s">
        <v>2</v>
      </c>
      <c r="D31" t="s">
        <v>130</v>
      </c>
      <c r="E31" t="s">
        <v>41</v>
      </c>
      <c r="F31" s="3" t="s">
        <v>59</v>
      </c>
      <c r="G31" s="4" t="s">
        <v>229</v>
      </c>
      <c r="H31" s="4"/>
      <c r="I31" s="4"/>
      <c r="J31" s="4"/>
      <c r="K31" s="4"/>
    </row>
    <row r="32" spans="1:12" x14ac:dyDescent="0.55000000000000004">
      <c r="A32" t="s">
        <v>131</v>
      </c>
      <c r="B32" t="s">
        <v>132</v>
      </c>
      <c r="C32" t="s">
        <v>2</v>
      </c>
      <c r="D32" t="s">
        <v>133</v>
      </c>
      <c r="E32" t="s">
        <v>41</v>
      </c>
      <c r="F32" s="3" t="s">
        <v>60</v>
      </c>
      <c r="G32" s="4" t="s">
        <v>230</v>
      </c>
      <c r="H32" s="4"/>
      <c r="I32" s="4"/>
      <c r="J32" s="4"/>
      <c r="K32" s="4"/>
    </row>
    <row r="33" spans="1:11" x14ac:dyDescent="0.55000000000000004">
      <c r="A33" t="s">
        <v>134</v>
      </c>
      <c r="B33" t="s">
        <v>135</v>
      </c>
      <c r="C33" t="s">
        <v>2</v>
      </c>
      <c r="D33" t="s">
        <v>136</v>
      </c>
      <c r="E33" t="s">
        <v>41</v>
      </c>
      <c r="F33" s="3" t="s">
        <v>61</v>
      </c>
      <c r="G33" s="4" t="s">
        <v>231</v>
      </c>
      <c r="H33" s="4"/>
      <c r="I33" s="4"/>
      <c r="J33" s="4"/>
      <c r="K33" s="4"/>
    </row>
    <row r="34" spans="1:11" x14ac:dyDescent="0.55000000000000004">
      <c r="A34" t="s">
        <v>137</v>
      </c>
      <c r="B34" t="s">
        <v>138</v>
      </c>
      <c r="C34" t="s">
        <v>2</v>
      </c>
      <c r="D34" t="s">
        <v>139</v>
      </c>
      <c r="E34" t="s">
        <v>41</v>
      </c>
      <c r="F34" s="3" t="s">
        <v>62</v>
      </c>
      <c r="G34" s="4" t="s">
        <v>232</v>
      </c>
      <c r="H34" s="4"/>
      <c r="I34" s="4"/>
      <c r="J34" s="4"/>
      <c r="K34" s="4"/>
    </row>
    <row r="35" spans="1:11" x14ac:dyDescent="0.55000000000000004">
      <c r="A35" t="s">
        <v>140</v>
      </c>
      <c r="B35" t="s">
        <v>141</v>
      </c>
      <c r="C35" t="s">
        <v>2</v>
      </c>
      <c r="D35" t="s">
        <v>142</v>
      </c>
      <c r="E35" t="s">
        <v>41</v>
      </c>
      <c r="F35" s="3" t="s">
        <v>63</v>
      </c>
      <c r="G35" s="4" t="s">
        <v>233</v>
      </c>
      <c r="H35" s="4"/>
      <c r="I35" s="4"/>
      <c r="J35" s="4"/>
      <c r="K35" s="4"/>
    </row>
    <row r="36" spans="1:11" x14ac:dyDescent="0.55000000000000004">
      <c r="A36" t="s">
        <v>143</v>
      </c>
      <c r="B36" t="s">
        <v>144</v>
      </c>
      <c r="C36" t="s">
        <v>2</v>
      </c>
      <c r="D36" t="s">
        <v>145</v>
      </c>
      <c r="E36" t="s">
        <v>41</v>
      </c>
      <c r="F36" s="3" t="s">
        <v>64</v>
      </c>
      <c r="G36" s="4" t="s">
        <v>234</v>
      </c>
      <c r="H36" s="4"/>
      <c r="I36" s="4"/>
      <c r="J36" s="4"/>
      <c r="K36" s="4"/>
    </row>
    <row r="37" spans="1:11" x14ac:dyDescent="0.55000000000000004">
      <c r="A37" t="s">
        <v>146</v>
      </c>
      <c r="B37" t="s">
        <v>147</v>
      </c>
      <c r="C37" t="s">
        <v>2</v>
      </c>
      <c r="D37" t="s">
        <v>148</v>
      </c>
      <c r="E37" t="s">
        <v>41</v>
      </c>
      <c r="F37" s="3" t="s">
        <v>65</v>
      </c>
      <c r="G37" s="4" t="s">
        <v>235</v>
      </c>
      <c r="H37" s="4"/>
      <c r="I37" s="4"/>
      <c r="J37" s="4"/>
      <c r="K37" s="4"/>
    </row>
    <row r="38" spans="1:11" x14ac:dyDescent="0.55000000000000004">
      <c r="A38" t="s">
        <v>149</v>
      </c>
      <c r="B38" t="s">
        <v>150</v>
      </c>
      <c r="C38" t="s">
        <v>2</v>
      </c>
      <c r="D38" t="s">
        <v>151</v>
      </c>
      <c r="E38" t="s">
        <v>41</v>
      </c>
      <c r="F38" s="3" t="s">
        <v>66</v>
      </c>
      <c r="G38" s="4" t="s">
        <v>236</v>
      </c>
      <c r="H38" s="4"/>
      <c r="I38" s="4"/>
      <c r="J38" s="4"/>
      <c r="K38" s="4"/>
    </row>
    <row r="39" spans="1:11" x14ac:dyDescent="0.55000000000000004">
      <c r="A39" t="s">
        <v>152</v>
      </c>
      <c r="B39" t="s">
        <v>153</v>
      </c>
      <c r="C39" t="s">
        <v>2</v>
      </c>
      <c r="D39" t="s">
        <v>154</v>
      </c>
      <c r="E39" t="s">
        <v>41</v>
      </c>
      <c r="F39" s="3" t="s">
        <v>67</v>
      </c>
      <c r="G39" s="4" t="s">
        <v>237</v>
      </c>
      <c r="H39" s="4"/>
      <c r="I39" s="4"/>
      <c r="J39" s="4"/>
      <c r="K39" s="4"/>
    </row>
    <row r="40" spans="1:11" x14ac:dyDescent="0.55000000000000004">
      <c r="A40" t="s">
        <v>155</v>
      </c>
      <c r="B40" t="s">
        <v>156</v>
      </c>
      <c r="C40" t="s">
        <v>2</v>
      </c>
      <c r="D40" t="s">
        <v>157</v>
      </c>
      <c r="E40" t="s">
        <v>41</v>
      </c>
      <c r="F40" s="3" t="s">
        <v>68</v>
      </c>
      <c r="G40" s="4" t="s">
        <v>238</v>
      </c>
      <c r="H40" s="4"/>
      <c r="I40" s="4"/>
      <c r="J40" s="4"/>
      <c r="K40" s="4"/>
    </row>
    <row r="41" spans="1:11" x14ac:dyDescent="0.55000000000000004">
      <c r="A41" t="s">
        <v>158</v>
      </c>
      <c r="B41" t="s">
        <v>159</v>
      </c>
      <c r="C41" t="s">
        <v>2</v>
      </c>
      <c r="D41" t="s">
        <v>160</v>
      </c>
      <c r="E41" t="s">
        <v>41</v>
      </c>
      <c r="F41" s="3" t="s">
        <v>69</v>
      </c>
      <c r="G41" s="4" t="s">
        <v>239</v>
      </c>
      <c r="H41" s="4"/>
      <c r="I41" s="4"/>
      <c r="J41" s="4"/>
      <c r="K41" s="4"/>
    </row>
    <row r="42" spans="1:11" x14ac:dyDescent="0.55000000000000004">
      <c r="A42" t="s">
        <v>161</v>
      </c>
      <c r="B42" t="s">
        <v>162</v>
      </c>
      <c r="C42" t="s">
        <v>2</v>
      </c>
      <c r="D42" t="s">
        <v>163</v>
      </c>
      <c r="E42" t="s">
        <v>41</v>
      </c>
      <c r="F42" s="3" t="s">
        <v>70</v>
      </c>
      <c r="G42" s="4" t="s">
        <v>240</v>
      </c>
      <c r="H42" s="4"/>
      <c r="I42" s="4"/>
      <c r="J42" s="4"/>
      <c r="K42" s="4"/>
    </row>
    <row r="43" spans="1:11" x14ac:dyDescent="0.55000000000000004">
      <c r="A43" t="s">
        <v>164</v>
      </c>
      <c r="B43" t="s">
        <v>165</v>
      </c>
      <c r="C43" t="s">
        <v>2</v>
      </c>
      <c r="D43" t="s">
        <v>166</v>
      </c>
      <c r="E43" t="s">
        <v>41</v>
      </c>
      <c r="F43" s="3" t="s">
        <v>71</v>
      </c>
      <c r="G43" s="4" t="s">
        <v>241</v>
      </c>
      <c r="H43" s="4"/>
      <c r="I43" s="4"/>
      <c r="J43" s="4"/>
      <c r="K43" s="4"/>
    </row>
    <row r="44" spans="1:11" x14ac:dyDescent="0.55000000000000004">
      <c r="A44" t="s">
        <v>167</v>
      </c>
      <c r="B44" t="s">
        <v>168</v>
      </c>
      <c r="C44" t="s">
        <v>2</v>
      </c>
      <c r="D44" t="s">
        <v>169</v>
      </c>
      <c r="E44" t="s">
        <v>41</v>
      </c>
      <c r="F44" s="3" t="s">
        <v>72</v>
      </c>
      <c r="G44" s="4" t="s">
        <v>242</v>
      </c>
      <c r="H44" s="4"/>
      <c r="I44" s="4"/>
      <c r="J44" s="4"/>
      <c r="K44" s="4"/>
    </row>
    <row r="45" spans="1:11" x14ac:dyDescent="0.55000000000000004">
      <c r="A45" t="s">
        <v>170</v>
      </c>
      <c r="B45" t="s">
        <v>171</v>
      </c>
      <c r="C45" t="s">
        <v>2</v>
      </c>
      <c r="D45" t="s">
        <v>172</v>
      </c>
      <c r="E45" t="s">
        <v>41</v>
      </c>
      <c r="F45" s="3" t="s">
        <v>73</v>
      </c>
      <c r="G45" s="4" t="s">
        <v>243</v>
      </c>
      <c r="H45" s="4"/>
      <c r="I45" s="4"/>
      <c r="J45" s="4"/>
      <c r="K45" s="4"/>
    </row>
    <row r="46" spans="1:11" x14ac:dyDescent="0.55000000000000004">
      <c r="A46" t="s">
        <v>173</v>
      </c>
      <c r="B46" t="s">
        <v>174</v>
      </c>
      <c r="C46" t="s">
        <v>2</v>
      </c>
      <c r="D46" t="s">
        <v>175</v>
      </c>
      <c r="E46" t="s">
        <v>41</v>
      </c>
      <c r="F46" s="3" t="s">
        <v>74</v>
      </c>
      <c r="G46" s="4" t="s">
        <v>244</v>
      </c>
      <c r="H46" s="4"/>
      <c r="I46" s="4"/>
      <c r="J46" s="4"/>
      <c r="K46" s="4"/>
    </row>
    <row r="47" spans="1:11" x14ac:dyDescent="0.55000000000000004">
      <c r="A47" t="s">
        <v>176</v>
      </c>
      <c r="B47" t="s">
        <v>177</v>
      </c>
      <c r="C47" t="s">
        <v>2</v>
      </c>
      <c r="D47" t="s">
        <v>178</v>
      </c>
      <c r="E47" t="s">
        <v>41</v>
      </c>
      <c r="F47" s="3" t="s">
        <v>75</v>
      </c>
      <c r="G47" s="4" t="s">
        <v>245</v>
      </c>
      <c r="H47" s="4"/>
      <c r="I47" s="4"/>
      <c r="J47" s="4"/>
      <c r="K47" s="4"/>
    </row>
    <row r="48" spans="1:11" x14ac:dyDescent="0.55000000000000004">
      <c r="A48" t="s">
        <v>179</v>
      </c>
      <c r="B48" t="s">
        <v>180</v>
      </c>
      <c r="C48" t="s">
        <v>2</v>
      </c>
      <c r="D48" t="s">
        <v>181</v>
      </c>
      <c r="E48" t="s">
        <v>41</v>
      </c>
      <c r="F48" s="3" t="s">
        <v>76</v>
      </c>
      <c r="G48" s="4" t="s">
        <v>246</v>
      </c>
      <c r="H48" s="4"/>
      <c r="I48" s="4"/>
      <c r="J48" s="4"/>
      <c r="K48" s="4"/>
    </row>
    <row r="49" spans="1:11" x14ac:dyDescent="0.55000000000000004">
      <c r="A49" t="s">
        <v>80</v>
      </c>
      <c r="B49" t="s">
        <v>81</v>
      </c>
      <c r="C49" t="s">
        <v>2</v>
      </c>
      <c r="D49" t="s">
        <v>82</v>
      </c>
      <c r="E49" t="s">
        <v>40</v>
      </c>
      <c r="F49" s="3" t="s">
        <v>213</v>
      </c>
      <c r="G49" s="4" t="s">
        <v>260</v>
      </c>
      <c r="H49" s="4"/>
      <c r="I49" s="4"/>
      <c r="J49" s="3" t="s">
        <v>259</v>
      </c>
      <c r="K49" s="4"/>
    </row>
    <row r="50" spans="1:11" x14ac:dyDescent="0.55000000000000004">
      <c r="A50" t="s">
        <v>263</v>
      </c>
      <c r="B50" t="s">
        <v>264</v>
      </c>
      <c r="C50" t="s">
        <v>2</v>
      </c>
      <c r="D50" t="s">
        <v>265</v>
      </c>
      <c r="E50" t="s">
        <v>40</v>
      </c>
      <c r="F50" s="3" t="s">
        <v>196</v>
      </c>
      <c r="G50" s="4" t="s">
        <v>260</v>
      </c>
      <c r="H50" s="4"/>
      <c r="I50" s="4"/>
      <c r="J50" s="3" t="s">
        <v>259</v>
      </c>
      <c r="K50" s="4"/>
    </row>
    <row r="51" spans="1:11" x14ac:dyDescent="0.55000000000000004">
      <c r="A51" t="s">
        <v>266</v>
      </c>
      <c r="B51" t="s">
        <v>267</v>
      </c>
      <c r="C51" t="s">
        <v>2</v>
      </c>
      <c r="D51" t="s">
        <v>268</v>
      </c>
      <c r="E51" t="s">
        <v>40</v>
      </c>
      <c r="F51" s="3" t="s">
        <v>197</v>
      </c>
      <c r="G51" s="4" t="s">
        <v>260</v>
      </c>
      <c r="H51" s="4"/>
      <c r="I51" s="4"/>
      <c r="J51" s="3" t="s">
        <v>259</v>
      </c>
    </row>
    <row r="52" spans="1:11" x14ac:dyDescent="0.55000000000000004">
      <c r="A52" t="s">
        <v>13</v>
      </c>
      <c r="B52" t="s">
        <v>14</v>
      </c>
      <c r="C52" t="s">
        <v>2</v>
      </c>
      <c r="D52" t="s">
        <v>15</v>
      </c>
      <c r="E52" t="s">
        <v>38</v>
      </c>
      <c r="F52" s="3" t="s">
        <v>204</v>
      </c>
      <c r="G52" s="4" t="s">
        <v>255</v>
      </c>
      <c r="H52" s="4"/>
      <c r="I52" s="4"/>
      <c r="J52" s="3" t="s">
        <v>258</v>
      </c>
    </row>
    <row r="53" spans="1:11" x14ac:dyDescent="0.55000000000000004">
      <c r="A53" t="s">
        <v>16</v>
      </c>
      <c r="B53" t="s">
        <v>17</v>
      </c>
      <c r="C53" t="s">
        <v>2</v>
      </c>
      <c r="D53" t="s">
        <v>18</v>
      </c>
      <c r="E53" t="s">
        <v>38</v>
      </c>
      <c r="F53" s="3" t="s">
        <v>205</v>
      </c>
      <c r="G53" s="4" t="s">
        <v>255</v>
      </c>
      <c r="H53" s="4"/>
      <c r="I53" s="4"/>
      <c r="J53" s="3" t="s">
        <v>258</v>
      </c>
    </row>
    <row r="54" spans="1:11" x14ac:dyDescent="0.55000000000000004">
      <c r="A54" t="s">
        <v>19</v>
      </c>
      <c r="B54" t="s">
        <v>20</v>
      </c>
      <c r="C54" t="s">
        <v>2</v>
      </c>
      <c r="D54" t="s">
        <v>21</v>
      </c>
      <c r="E54" t="s">
        <v>38</v>
      </c>
      <c r="F54" s="3" t="s">
        <v>206</v>
      </c>
      <c r="G54" s="4" t="s">
        <v>255</v>
      </c>
      <c r="H54" s="4"/>
      <c r="I54" s="4"/>
      <c r="J54" s="3" t="s">
        <v>258</v>
      </c>
    </row>
    <row r="55" spans="1:11" x14ac:dyDescent="0.55000000000000004">
      <c r="C55" s="4"/>
    </row>
    <row r="56" spans="1:11" x14ac:dyDescent="0.55000000000000004">
      <c r="C56" s="4"/>
      <c r="D56" s="4"/>
    </row>
    <row r="57" spans="1:11" x14ac:dyDescent="0.55000000000000004">
      <c r="C57" s="4"/>
      <c r="D57" s="4"/>
    </row>
    <row r="58" spans="1:11" x14ac:dyDescent="0.55000000000000004">
      <c r="C58" s="4"/>
      <c r="D58" s="4"/>
    </row>
    <row r="59" spans="1:11" x14ac:dyDescent="0.55000000000000004">
      <c r="C59" s="4"/>
      <c r="D59" s="4"/>
    </row>
    <row r="60" spans="1:11" x14ac:dyDescent="0.55000000000000004">
      <c r="C60" s="4"/>
      <c r="D60" s="4"/>
    </row>
    <row r="61" spans="1:11" x14ac:dyDescent="0.55000000000000004">
      <c r="C61" s="4"/>
      <c r="D61" s="4"/>
    </row>
    <row r="62" spans="1:11" x14ac:dyDescent="0.55000000000000004">
      <c r="C62" s="4"/>
      <c r="D62" s="4"/>
    </row>
    <row r="63" spans="1:11" x14ac:dyDescent="0.55000000000000004">
      <c r="C63" s="4"/>
      <c r="D63" s="4"/>
    </row>
    <row r="64" spans="1:11" x14ac:dyDescent="0.55000000000000004">
      <c r="C64" s="4"/>
      <c r="D64" s="4"/>
    </row>
    <row r="65" spans="3:4" x14ac:dyDescent="0.55000000000000004">
      <c r="C65" s="4"/>
      <c r="D65" s="4"/>
    </row>
    <row r="66" spans="3:4" x14ac:dyDescent="0.55000000000000004">
      <c r="C66" s="4"/>
      <c r="D66" s="4"/>
    </row>
    <row r="67" spans="3:4" x14ac:dyDescent="0.55000000000000004">
      <c r="C67" s="4"/>
      <c r="D67" s="4"/>
    </row>
    <row r="68" spans="3:4" x14ac:dyDescent="0.55000000000000004">
      <c r="C68" s="4"/>
      <c r="D68" s="4"/>
    </row>
    <row r="69" spans="3:4" x14ac:dyDescent="0.55000000000000004">
      <c r="C69" s="4"/>
      <c r="D69" s="4"/>
    </row>
    <row r="70" spans="3:4" x14ac:dyDescent="0.55000000000000004">
      <c r="C70" s="4"/>
      <c r="D70" s="4"/>
    </row>
    <row r="71" spans="3:4" x14ac:dyDescent="0.55000000000000004">
      <c r="C71" s="4"/>
      <c r="D71" s="4"/>
    </row>
    <row r="72" spans="3:4" x14ac:dyDescent="0.55000000000000004">
      <c r="C72" s="4"/>
      <c r="D72" s="4"/>
    </row>
    <row r="73" spans="3:4" x14ac:dyDescent="0.55000000000000004">
      <c r="C73" s="4"/>
      <c r="D73" s="4"/>
    </row>
    <row r="74" spans="3:4" x14ac:dyDescent="0.55000000000000004">
      <c r="C74" s="4"/>
      <c r="D74" s="4"/>
    </row>
    <row r="75" spans="3:4" x14ac:dyDescent="0.55000000000000004">
      <c r="C75" s="4"/>
      <c r="D75" s="4"/>
    </row>
    <row r="76" spans="3:4" x14ac:dyDescent="0.55000000000000004">
      <c r="C76" s="4"/>
      <c r="D76" s="4"/>
    </row>
    <row r="77" spans="3:4" x14ac:dyDescent="0.55000000000000004">
      <c r="C77" s="4"/>
      <c r="D77" s="4"/>
    </row>
    <row r="78" spans="3:4" x14ac:dyDescent="0.55000000000000004">
      <c r="C78" s="4"/>
      <c r="D78" s="4"/>
    </row>
    <row r="79" spans="3:4" x14ac:dyDescent="0.55000000000000004">
      <c r="C79" s="4"/>
      <c r="D79" s="4"/>
    </row>
    <row r="80" spans="3:4" x14ac:dyDescent="0.55000000000000004">
      <c r="C80" s="4"/>
      <c r="D80" s="4"/>
    </row>
    <row r="81" spans="3:4" x14ac:dyDescent="0.55000000000000004">
      <c r="C81" s="4"/>
      <c r="D81" s="4"/>
    </row>
    <row r="82" spans="3:4" x14ac:dyDescent="0.55000000000000004">
      <c r="C82" s="4"/>
      <c r="D82" s="4"/>
    </row>
    <row r="83" spans="3:4" x14ac:dyDescent="0.55000000000000004">
      <c r="C83" s="4"/>
      <c r="D83" s="4"/>
    </row>
    <row r="84" spans="3:4" x14ac:dyDescent="0.55000000000000004">
      <c r="C84" s="4"/>
      <c r="D84" s="4"/>
    </row>
    <row r="85" spans="3:4" x14ac:dyDescent="0.55000000000000004">
      <c r="C85" s="4"/>
      <c r="D85" s="4"/>
    </row>
  </sheetData>
  <autoFilter ref="A1:J1">
    <sortState ref="A2:J54">
      <sortCondition ref="E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55000000000000004"/>
  <sheetData>
    <row r="1" spans="1:2" x14ac:dyDescent="0.55000000000000004">
      <c r="A1">
        <v>300</v>
      </c>
      <c r="B1" t="s">
        <v>280</v>
      </c>
    </row>
    <row r="2" spans="1:2" x14ac:dyDescent="0.55000000000000004">
      <c r="A2">
        <v>114</v>
      </c>
      <c r="B2" t="s">
        <v>281</v>
      </c>
    </row>
    <row r="3" spans="1:2" x14ac:dyDescent="0.55000000000000004">
      <c r="A3">
        <v>224</v>
      </c>
      <c r="B3" t="s">
        <v>282</v>
      </c>
    </row>
    <row r="4" spans="1:2" x14ac:dyDescent="0.55000000000000004">
      <c r="A4">
        <v>80</v>
      </c>
      <c r="B4" t="s">
        <v>283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"/>
  <sheetViews>
    <sheetView workbookViewId="0">
      <selection activeCell="A2" sqref="A2:XFD3"/>
    </sheetView>
  </sheetViews>
  <sheetFormatPr defaultRowHeight="14.4" x14ac:dyDescent="0.55000000000000004"/>
  <cols>
    <col min="3" max="3" width="43.734375" customWidth="1"/>
  </cols>
  <sheetData>
    <row r="2" spans="1:23" x14ac:dyDescent="0.55000000000000004">
      <c r="A2" t="s">
        <v>193</v>
      </c>
      <c r="B2" t="s">
        <v>269</v>
      </c>
      <c r="C2" t="s">
        <v>2</v>
      </c>
      <c r="D2" t="s">
        <v>271</v>
      </c>
      <c r="E2">
        <v>0.72191434380727115</v>
      </c>
      <c r="F2">
        <v>4.3980042977783476E-3</v>
      </c>
      <c r="G2">
        <v>5</v>
      </c>
      <c r="H2">
        <v>2</v>
      </c>
      <c r="I2">
        <v>5</v>
      </c>
      <c r="J2">
        <v>4</v>
      </c>
      <c r="K2">
        <v>4</v>
      </c>
      <c r="L2">
        <v>0.94908627586015371</v>
      </c>
      <c r="M2">
        <v>4.7077124962892148E-3</v>
      </c>
      <c r="N2">
        <v>3</v>
      </c>
      <c r="O2">
        <v>4</v>
      </c>
      <c r="P2">
        <v>4</v>
      </c>
      <c r="Q2">
        <v>3</v>
      </c>
      <c r="R2">
        <v>4</v>
      </c>
      <c r="S2">
        <f>1-L2</f>
        <v>5.0913724139846295E-2</v>
      </c>
      <c r="T2" t="s">
        <v>39</v>
      </c>
      <c r="U2" s="3" t="s">
        <v>198</v>
      </c>
      <c r="V2" s="4" t="s">
        <v>256</v>
      </c>
      <c r="W2" s="3" t="s">
        <v>257</v>
      </c>
    </row>
    <row r="3" spans="1:23" x14ac:dyDescent="0.55000000000000004">
      <c r="A3" t="s">
        <v>194</v>
      </c>
      <c r="B3" s="3" t="s">
        <v>270</v>
      </c>
      <c r="C3" t="s">
        <v>2</v>
      </c>
      <c r="D3" t="s">
        <v>272</v>
      </c>
      <c r="E3">
        <v>3.3187972617449324E-2</v>
      </c>
      <c r="F3">
        <v>6.7249171695745701E-3</v>
      </c>
      <c r="G3">
        <v>4</v>
      </c>
      <c r="H3">
        <v>3</v>
      </c>
      <c r="I3">
        <v>4</v>
      </c>
      <c r="J3">
        <v>2</v>
      </c>
      <c r="K3">
        <v>2</v>
      </c>
      <c r="L3">
        <v>0.63264015492889036</v>
      </c>
      <c r="M3">
        <v>2.2120885677457936E-3</v>
      </c>
      <c r="N3">
        <v>4</v>
      </c>
      <c r="O3">
        <v>4</v>
      </c>
      <c r="P3">
        <v>3</v>
      </c>
      <c r="Q3">
        <v>3</v>
      </c>
      <c r="R3">
        <v>1</v>
      </c>
      <c r="S3">
        <f>1-L3</f>
        <v>0.36735984507110964</v>
      </c>
      <c r="T3" t="s">
        <v>39</v>
      </c>
      <c r="U3" s="3" t="s">
        <v>199</v>
      </c>
      <c r="V3" s="4" t="s">
        <v>256</v>
      </c>
      <c r="W3" s="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WW_props</vt:lpstr>
      <vt:lpstr>Sheet1</vt:lpstr>
      <vt:lpstr>Missing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Lesage</dc:creator>
  <cp:lastModifiedBy>Pascal Lesage</cp:lastModifiedBy>
  <dcterms:created xsi:type="dcterms:W3CDTF">2017-08-11T00:14:48Z</dcterms:created>
  <dcterms:modified xsi:type="dcterms:W3CDTF">2018-04-10T12:46:53Z</dcterms:modified>
</cp:coreProperties>
</file>