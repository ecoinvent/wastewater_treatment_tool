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py\code\wastewater_treatment_tool\resources\"/>
    </mc:Choice>
  </mc:AlternateContent>
  <bookViews>
    <workbookView xWindow="0" yWindow="0" windowWidth="23040" windowHeight="8520" activeTab="1"/>
  </bookViews>
  <sheets>
    <sheet name="old" sheetId="1" r:id="rId1"/>
    <sheet name="new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2" l="1"/>
  <c r="H22" i="2"/>
  <c r="G22" i="2"/>
  <c r="I18" i="2"/>
  <c r="H18" i="2"/>
  <c r="G18" i="2"/>
  <c r="F18" i="2"/>
  <c r="E18" i="2"/>
  <c r="D18" i="2"/>
  <c r="I14" i="2"/>
  <c r="I5" i="2"/>
  <c r="H5" i="2"/>
  <c r="H9" i="2" s="1"/>
  <c r="G5" i="2"/>
  <c r="F5" i="2"/>
  <c r="F9" i="2" s="1"/>
  <c r="D23" i="2"/>
  <c r="E23" i="2"/>
  <c r="F23" i="2"/>
  <c r="G23" i="2"/>
  <c r="H23" i="2"/>
  <c r="D22" i="2"/>
  <c r="D24" i="2" s="1"/>
  <c r="D26" i="2" s="1"/>
  <c r="E22" i="2"/>
  <c r="D17" i="2"/>
  <c r="D19" i="2" s="1"/>
  <c r="E17" i="2"/>
  <c r="E19" i="2" s="1"/>
  <c r="F17" i="2"/>
  <c r="F19" i="2" s="1"/>
  <c r="G17" i="2"/>
  <c r="G19" i="2" s="1"/>
  <c r="H17" i="2"/>
  <c r="H19" i="2" s="1"/>
  <c r="D14" i="2"/>
  <c r="D15" i="2" s="1"/>
  <c r="E14" i="2"/>
  <c r="E15" i="2" s="1"/>
  <c r="F14" i="2"/>
  <c r="F15" i="2" s="1"/>
  <c r="G14" i="2"/>
  <c r="G15" i="2" s="1"/>
  <c r="H14" i="2"/>
  <c r="H15" i="2" s="1"/>
  <c r="D9" i="2"/>
  <c r="E9" i="2"/>
  <c r="H24" i="2" l="1"/>
  <c r="H26" i="2" s="1"/>
  <c r="G9" i="2"/>
  <c r="G24" i="2"/>
  <c r="G26" i="2" s="1"/>
  <c r="F22" i="2"/>
  <c r="F24" i="2" s="1"/>
  <c r="F26" i="2" s="1"/>
  <c r="E24" i="2"/>
  <c r="E26" i="2" s="1"/>
  <c r="H16" i="1" l="1"/>
  <c r="H18" i="1" s="1"/>
  <c r="G16" i="1"/>
  <c r="G18" i="1" s="1"/>
  <c r="F16" i="1"/>
  <c r="F18" i="1" s="1"/>
  <c r="E16" i="1"/>
  <c r="E18" i="1" s="1"/>
  <c r="D16" i="1"/>
  <c r="D18" i="1" s="1"/>
  <c r="H22" i="1"/>
  <c r="G22" i="1"/>
  <c r="F22" i="1"/>
  <c r="E22" i="1"/>
  <c r="H21" i="1"/>
  <c r="G21" i="1"/>
  <c r="F21" i="1"/>
  <c r="E21" i="1"/>
  <c r="D22" i="1"/>
  <c r="D21" i="1"/>
  <c r="G14" i="1"/>
  <c r="D8" i="1"/>
  <c r="D13" i="1"/>
  <c r="D14" i="1" s="1"/>
  <c r="H13" i="1"/>
  <c r="H14" i="1" s="1"/>
  <c r="G13" i="1"/>
  <c r="F13" i="1"/>
  <c r="F14" i="1" s="1"/>
  <c r="E13" i="1"/>
  <c r="E14" i="1" s="1"/>
  <c r="E8" i="1"/>
  <c r="F8" i="1"/>
  <c r="G8" i="1"/>
  <c r="H8" i="1"/>
  <c r="E23" i="1" l="1"/>
  <c r="E25" i="1" s="1"/>
  <c r="G23" i="1"/>
  <c r="G25" i="1" s="1"/>
  <c r="H23" i="1"/>
  <c r="H25" i="1" s="1"/>
  <c r="F23" i="1"/>
  <c r="F25" i="1" s="1"/>
  <c r="D23" i="1"/>
  <c r="D25" i="1" s="1"/>
</calcChain>
</file>

<file path=xl/sharedStrings.xml><?xml version="1.0" encoding="utf-8"?>
<sst xmlns="http://schemas.openxmlformats.org/spreadsheetml/2006/main" count="207" uniqueCount="99">
  <si>
    <t>Navàs</t>
  </si>
  <si>
    <t>Balaguer</t>
  </si>
  <si>
    <t>Manlleu</t>
  </si>
  <si>
    <t>L'Escala</t>
  </si>
  <si>
    <t>Girona</t>
  </si>
  <si>
    <t>Nominal capacity median (PE)</t>
  </si>
  <si>
    <t>Nominal capacity range in Doka (PE)</t>
  </si>
  <si>
    <t>Sample WWTP name</t>
  </si>
  <si>
    <r>
      <t>Daily capacity  (m</t>
    </r>
    <r>
      <rPr>
        <vertAlign val="super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/d)</t>
    </r>
  </si>
  <si>
    <r>
      <t>Annula capacity  (m</t>
    </r>
    <r>
      <rPr>
        <vertAlign val="super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/year)</t>
    </r>
  </si>
  <si>
    <t>Sample capacity (PE)</t>
  </si>
  <si>
    <t>Nominal capacity range minimum (PE)</t>
  </si>
  <si>
    <t>Nominal capacity range maximum (PE)</t>
  </si>
  <si>
    <t>+</t>
  </si>
  <si>
    <t>Doka yearly capacity (m3/year)</t>
  </si>
  <si>
    <t>Description</t>
  </si>
  <si>
    <t>Difference between our median and Doka (PE) ((ours-Doka)/ours)</t>
  </si>
  <si>
    <t>m_sewers_per_capita</t>
  </si>
  <si>
    <t>Meters per capita of sewers, Doka 2009</t>
  </si>
  <si>
    <t>lifetime_sewer</t>
  </si>
  <si>
    <t>Lifetime of sewer system (years)</t>
  </si>
  <si>
    <t>sewer_length</t>
  </si>
  <si>
    <t>m3_over_life_sewers</t>
  </si>
  <si>
    <t>Total m3 ww transported by sewer gid over lifetime</t>
  </si>
  <si>
    <t>km_sewer_per_m3</t>
  </si>
  <si>
    <t>Sewer grid length, calculated (km)</t>
  </si>
  <si>
    <t>km_sewer_per_m3_doka</t>
  </si>
  <si>
    <t>kilometer sewers per m3 over lifetime (km/m3)</t>
  </si>
  <si>
    <t>kilometer sewers per m3 over lifetime, Doka 2009 (km/m3)</t>
  </si>
  <si>
    <t>diff_km_sewer_per_m3</t>
  </si>
  <si>
    <t>Difference between our value and Doka (PE) ((ours-Doka)/ours)</t>
  </si>
  <si>
    <t>Difference between our value and Doka (m3/year) ((ours-Doka)/ours)</t>
  </si>
  <si>
    <t>Category</t>
  </si>
  <si>
    <t>Sewers</t>
  </si>
  <si>
    <t>WWTP</t>
  </si>
  <si>
    <t>Lifetime_WWTP</t>
  </si>
  <si>
    <t>Lifetime of the WWTP (years)</t>
  </si>
  <si>
    <t>m3_over_life_WWTP</t>
  </si>
  <si>
    <t>m3 treated over lifetime of WWTP</t>
  </si>
  <si>
    <t>m3_over_life_WWTP_Doka</t>
  </si>
  <si>
    <t>m3 treated over lifetime of WWTP, Doka 2009</t>
  </si>
  <si>
    <t>diff_m3_over_life_WWTP</t>
  </si>
  <si>
    <t>Difference between our value and Doka (m3/lifetime) ((ours-Doka)/ours)</t>
  </si>
  <si>
    <t>name</t>
  </si>
  <si>
    <t>Name of the intermediate exchange</t>
  </si>
  <si>
    <t>wastewater treatment facility construction, capacity class 5, 5.48E8 l/year</t>
  </si>
  <si>
    <t>sample_m3_per_year_WWTP</t>
  </si>
  <si>
    <t>sample_m3_per_d_WWTP</t>
  </si>
  <si>
    <t>sample_name_WWTP</t>
  </si>
  <si>
    <t>nom_cap_median_WWTP</t>
  </si>
  <si>
    <t>nom_cap_min_WWTP</t>
  </si>
  <si>
    <t>nom_cap_max_WWTP</t>
  </si>
  <si>
    <t>nom_cap_Doka_WWTP</t>
  </si>
  <si>
    <t>diff_PE_WWTP</t>
  </si>
  <si>
    <t>sample_cap_WWTP</t>
  </si>
  <si>
    <t>doka_m3_per_year_WWTP</t>
  </si>
  <si>
    <t>diff_m3_per_year_WWTP</t>
  </si>
  <si>
    <t>wastewater treatment facility construction, capacity class 4, 1.37E9 l/year</t>
  </si>
  <si>
    <t>wastewater treatment facility construction, capacity class 3, 5.26E9 l/year</t>
  </si>
  <si>
    <t>wastewater treatment facility construction, capacity class 2, 7.67E9 l/year</t>
  </si>
  <si>
    <t>wastewater treatment facility construction, capacity class 1, 2.01E10 l/year</t>
  </si>
  <si>
    <t>Class 1 (over 100,000 per-capita equivalents)</t>
  </si>
  <si>
    <t>Class 2 (50,000 to 100,000 per-capita equivalents)</t>
  </si>
  <si>
    <t>Class 5 (30 to 2000 per-capita equivalents)</t>
  </si>
  <si>
    <t>Class 4 (2000 to 10,000 per-capita equivalents)</t>
  </si>
  <si>
    <t>Class 3 (10,000 to 50,000 per-capita equivalents)</t>
  </si>
  <si>
    <t>Class Class 4 Class 3b Class 3a Class 2 Class 1</t>
  </si>
  <si>
    <t>PE range 2,000-10,000 10,000-20,000 20,000-50,000 50,000-100000 over 10,0000</t>
  </si>
  <si>
    <t>PE reference WWTP 8,750 18,750 44,153 100,000 206,250</t>
  </si>
  <si>
    <t>Name reference WWTP Navàs Balaguer Manlleu L'Escala Girona</t>
  </si>
  <si>
    <t>corresp_ecoinvent_class</t>
  </si>
  <si>
    <t>Name of the existing intermediate exchange in ecoinvent</t>
  </si>
  <si>
    <t>Proposed name of the intermediate exchange</t>
  </si>
  <si>
    <t>new_name_exc</t>
  </si>
  <si>
    <t>new_name_act</t>
  </si>
  <si>
    <t>Proposed name of the activity</t>
  </si>
  <si>
    <t>Class 1</t>
  </si>
  <si>
    <t>Class 2</t>
  </si>
  <si>
    <t>Class 3a</t>
  </si>
  <si>
    <t>Class 3b</t>
  </si>
  <si>
    <t>Class 4</t>
  </si>
  <si>
    <t>Class 5</t>
  </si>
  <si>
    <t>wastewater treatment facility construction, capacity class 1, greater than 100,000 PE</t>
  </si>
  <si>
    <t>wastewater treatment facility construction, capacity class 2, between 50,000 and 100,000 PE</t>
  </si>
  <si>
    <t>wastewater treatment facility construction, capacity class 3a, between 20,000 and 50,000 PE</t>
  </si>
  <si>
    <t>wastewater treatment facility construction, capacity class 2, between 10,000 and 20,000 PE</t>
  </si>
  <si>
    <t>wastewater treatment facility construction, capacity class 2, between 2,000 and 10,000 PE</t>
  </si>
  <si>
    <t>n/a</t>
  </si>
  <si>
    <t>wastewater treatment facility, capacity 1.1E10l/year</t>
  </si>
  <si>
    <t>wastewater treatment facility, capacity 1.6E8l/year</t>
  </si>
  <si>
    <t>wastewater treatment facility, capacity 1E9l/year</t>
  </si>
  <si>
    <t>wastewater treatment facility, capacity 4.7E10l/year</t>
  </si>
  <si>
    <t>wastewater treatment facility, capacity 5E9l/year</t>
  </si>
  <si>
    <t>DOKA</t>
  </si>
  <si>
    <t>wastewater treatment facility, capacity class 1, greater than 100,000 PE</t>
  </si>
  <si>
    <t>wastewater treatment facility, capacity class 2, between 50,000 and 100,000 PE</t>
  </si>
  <si>
    <t>wastewater treatment facility, capacity class 3a, between 20,000 and 50,000 PE</t>
  </si>
  <si>
    <t>wastewater treatment facility, capacity class 2, between 10,000 and 20,000 PE</t>
  </si>
  <si>
    <t>wastewater treatment facility, capacity class 2, between 2,000 and 10,000 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</si>
</sst>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000000"/>
      <name val="Trebuchet MS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0" fillId="0" borderId="0" xfId="0" quotePrefix="1"/>
    <xf numFmtId="9" fontId="0" fillId="0" borderId="0" xfId="1" applyFont="1"/>
    <xf numFmtId="11" fontId="0" fillId="0" borderId="0" xfId="0" applyNumberFormat="1"/>
    <xf numFmtId="0" fontId="0" fillId="0" borderId="0" xfId="1" applyNumberFormat="1" applyFont="1"/>
    <xf numFmtId="11" fontId="3" fillId="0" borderId="0" xfId="0" applyNumberFormat="1" applyFont="1" applyAlignment="1">
      <alignment horizontal="right" vertical="center"/>
    </xf>
    <xf numFmtId="0" fontId="0" fillId="0" borderId="1" xfId="0" applyBorder="1"/>
    <xf numFmtId="9" fontId="0" fillId="0" borderId="1" xfId="1" applyFont="1" applyBorder="1"/>
    <xf numFmtId="0" fontId="6" fillId="0" borderId="0" xfId="0" applyFont="1" applyAlignment="1">
      <alignment vertical="center"/>
    </xf>
    <xf numFmtId="0" fontId="7" fillId="0" borderId="0" xfId="0" applyFont="1"/>
    <xf numFmtId="9" fontId="6" fillId="0" borderId="0" xfId="1" applyFont="1"/>
    <xf numFmtId="0" fontId="5" fillId="0" borderId="0" xfId="0" applyFont="1"/>
    <xf numFmtId="0" fontId="0" fillId="0" borderId="0" xfId="0" applyFont="1"/>
    <xf numFmtId="0" fontId="1" fillId="0" borderId="0" xfId="1" applyNumberFormat="1" applyFont="1"/>
    <xf numFmtId="11" fontId="0" fillId="0" borderId="0" xfId="0" applyNumberFormat="1" applyFont="1"/>
    <xf numFmtId="0" fontId="8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5"/>
  <sheetViews>
    <sheetView workbookViewId="0">
      <selection activeCell="J9" sqref="J9:J12"/>
    </sheetView>
  </sheetViews>
  <sheetFormatPr defaultRowHeight="14.4" x14ac:dyDescent="0.55000000000000004"/>
  <cols>
    <col min="1" max="1" width="17.9453125" bestFit="1" customWidth="1"/>
    <col min="2" max="2" width="17.9453125" customWidth="1"/>
    <col min="3" max="3" width="57.578125" bestFit="1" customWidth="1"/>
    <col min="6" max="7" width="9.68359375" bestFit="1" customWidth="1"/>
    <col min="8" max="8" width="10.68359375" bestFit="1" customWidth="1"/>
  </cols>
  <sheetData>
    <row r="2" spans="1:10" x14ac:dyDescent="0.55000000000000004">
      <c r="B2" t="s">
        <v>32</v>
      </c>
      <c r="C2" t="s">
        <v>15</v>
      </c>
      <c r="D2" t="s">
        <v>63</v>
      </c>
      <c r="E2" t="s">
        <v>64</v>
      </c>
      <c r="F2" t="s">
        <v>65</v>
      </c>
      <c r="G2" t="s">
        <v>62</v>
      </c>
      <c r="H2" t="s">
        <v>61</v>
      </c>
    </row>
    <row r="3" spans="1:10" x14ac:dyDescent="0.55000000000000004">
      <c r="A3" t="s">
        <v>43</v>
      </c>
      <c r="B3" t="s">
        <v>34</v>
      </c>
      <c r="C3" t="s">
        <v>44</v>
      </c>
      <c r="D3" t="s">
        <v>45</v>
      </c>
      <c r="E3" t="s">
        <v>57</v>
      </c>
      <c r="F3" t="s">
        <v>58</v>
      </c>
      <c r="G3" t="s">
        <v>59</v>
      </c>
      <c r="H3" t="s">
        <v>60</v>
      </c>
    </row>
    <row r="4" spans="1:10" x14ac:dyDescent="0.55000000000000004">
      <c r="A4" t="s">
        <v>49</v>
      </c>
      <c r="B4" t="s">
        <v>34</v>
      </c>
      <c r="C4" t="s">
        <v>5</v>
      </c>
      <c r="D4">
        <v>1015</v>
      </c>
      <c r="E4">
        <v>6000</v>
      </c>
      <c r="F4">
        <v>30000</v>
      </c>
      <c r="G4">
        <v>75000</v>
      </c>
      <c r="H4">
        <v>200000</v>
      </c>
    </row>
    <row r="5" spans="1:10" x14ac:dyDescent="0.55000000000000004">
      <c r="A5" t="s">
        <v>50</v>
      </c>
      <c r="B5" t="s">
        <v>34</v>
      </c>
      <c r="C5" t="s">
        <v>11</v>
      </c>
      <c r="D5">
        <v>30</v>
      </c>
      <c r="E5">
        <v>2000</v>
      </c>
      <c r="F5">
        <v>10000</v>
      </c>
      <c r="G5">
        <v>50000</v>
      </c>
      <c r="H5">
        <v>100000</v>
      </c>
    </row>
    <row r="6" spans="1:10" x14ac:dyDescent="0.55000000000000004">
      <c r="A6" t="s">
        <v>51</v>
      </c>
      <c r="B6" t="s">
        <v>34</v>
      </c>
      <c r="C6" t="s">
        <v>12</v>
      </c>
      <c r="D6">
        <v>2000</v>
      </c>
      <c r="E6">
        <v>10000</v>
      </c>
      <c r="F6">
        <v>50000</v>
      </c>
      <c r="G6">
        <v>100000</v>
      </c>
      <c r="H6" s="4" t="s">
        <v>13</v>
      </c>
    </row>
    <row r="7" spans="1:10" x14ac:dyDescent="0.55000000000000004">
      <c r="A7" t="s">
        <v>52</v>
      </c>
      <c r="B7" t="s">
        <v>34</v>
      </c>
      <c r="C7" t="s">
        <v>6</v>
      </c>
      <c r="D7">
        <v>806</v>
      </c>
      <c r="E7">
        <v>5321</v>
      </c>
      <c r="F7">
        <v>24865</v>
      </c>
      <c r="G7">
        <v>71133</v>
      </c>
      <c r="H7">
        <v>233225</v>
      </c>
    </row>
    <row r="8" spans="1:10" x14ac:dyDescent="0.55000000000000004">
      <c r="A8" t="s">
        <v>53</v>
      </c>
      <c r="B8" t="s">
        <v>34</v>
      </c>
      <c r="C8" t="s">
        <v>16</v>
      </c>
      <c r="D8" s="5">
        <f>(D4-D7)/D4</f>
        <v>0.20591133004926107</v>
      </c>
      <c r="E8" s="5">
        <f t="shared" ref="E8:H8" si="0">(E4-E7)/E4</f>
        <v>0.11316666666666667</v>
      </c>
      <c r="F8" s="5">
        <f t="shared" si="0"/>
        <v>0.17116666666666666</v>
      </c>
      <c r="G8" s="5">
        <f t="shared" si="0"/>
        <v>5.1560000000000002E-2</v>
      </c>
      <c r="H8" s="5">
        <f t="shared" si="0"/>
        <v>-0.16612499999999999</v>
      </c>
    </row>
    <row r="9" spans="1:10" x14ac:dyDescent="0.55000000000000004">
      <c r="A9" t="s">
        <v>48</v>
      </c>
      <c r="B9" t="s">
        <v>34</v>
      </c>
      <c r="C9" s="1" t="s">
        <v>7</v>
      </c>
      <c r="D9" s="1" t="s">
        <v>0</v>
      </c>
      <c r="E9" s="11" t="s">
        <v>1</v>
      </c>
      <c r="F9" s="11" t="s">
        <v>2</v>
      </c>
      <c r="G9" s="1" t="s">
        <v>3</v>
      </c>
      <c r="H9" s="1" t="s">
        <v>4</v>
      </c>
      <c r="I9" s="1"/>
      <c r="J9" t="s">
        <v>66</v>
      </c>
    </row>
    <row r="10" spans="1:10" ht="16.5" x14ac:dyDescent="0.55000000000000004">
      <c r="A10" t="s">
        <v>47</v>
      </c>
      <c r="B10" t="s">
        <v>34</v>
      </c>
      <c r="C10" s="2" t="s">
        <v>8</v>
      </c>
      <c r="D10" s="3">
        <v>1500</v>
      </c>
      <c r="E10" s="3">
        <v>3750</v>
      </c>
      <c r="F10" s="3">
        <v>14400</v>
      </c>
      <c r="G10" s="3">
        <v>21000</v>
      </c>
      <c r="H10" s="3">
        <v>55000</v>
      </c>
      <c r="J10" t="s">
        <v>67</v>
      </c>
    </row>
    <row r="11" spans="1:10" ht="16.5" x14ac:dyDescent="0.55000000000000004">
      <c r="A11" t="s">
        <v>46</v>
      </c>
      <c r="B11" t="s">
        <v>34</v>
      </c>
      <c r="C11" s="2" t="s">
        <v>9</v>
      </c>
      <c r="D11" s="8">
        <v>547500</v>
      </c>
      <c r="E11" s="8">
        <v>1368750</v>
      </c>
      <c r="F11" s="8">
        <v>5256000</v>
      </c>
      <c r="G11" s="8">
        <v>7665000</v>
      </c>
      <c r="H11" s="8">
        <v>20075000</v>
      </c>
      <c r="I11" s="8"/>
      <c r="J11" t="s">
        <v>68</v>
      </c>
    </row>
    <row r="12" spans="1:10" x14ac:dyDescent="0.55000000000000004">
      <c r="A12" t="s">
        <v>54</v>
      </c>
      <c r="B12" t="s">
        <v>34</v>
      </c>
      <c r="C12" s="2" t="s">
        <v>10</v>
      </c>
      <c r="D12" s="3">
        <v>8750</v>
      </c>
      <c r="E12" s="3">
        <v>18750</v>
      </c>
      <c r="F12" s="3">
        <v>44153</v>
      </c>
      <c r="G12" s="3">
        <v>105000</v>
      </c>
      <c r="H12" s="3">
        <v>206250</v>
      </c>
      <c r="I12" s="3"/>
      <c r="J12" t="s">
        <v>69</v>
      </c>
    </row>
    <row r="13" spans="1:10" x14ac:dyDescent="0.55000000000000004">
      <c r="A13" t="s">
        <v>55</v>
      </c>
      <c r="B13" t="s">
        <v>34</v>
      </c>
      <c r="C13" s="2" t="s">
        <v>14</v>
      </c>
      <c r="D13">
        <f>D7*202</f>
        <v>162812</v>
      </c>
      <c r="E13">
        <f t="shared" ref="E13:H13" si="1">E7*202</f>
        <v>1074842</v>
      </c>
      <c r="F13">
        <f t="shared" si="1"/>
        <v>5022730</v>
      </c>
      <c r="G13">
        <f t="shared" si="1"/>
        <v>14368866</v>
      </c>
      <c r="H13">
        <f t="shared" si="1"/>
        <v>47111450</v>
      </c>
    </row>
    <row r="14" spans="1:10" x14ac:dyDescent="0.55000000000000004">
      <c r="A14" t="s">
        <v>56</v>
      </c>
      <c r="B14" t="s">
        <v>34</v>
      </c>
      <c r="C14" t="s">
        <v>31</v>
      </c>
      <c r="D14" s="5">
        <f>(D11-D13)/D11</f>
        <v>0.70262648401826489</v>
      </c>
      <c r="E14" s="5">
        <f>(E11-E13)/E11</f>
        <v>0.21472730593607306</v>
      </c>
      <c r="F14" s="5">
        <f>(F11-F13)/F11</f>
        <v>4.4381659056316587E-2</v>
      </c>
      <c r="G14" s="5">
        <f>(G11-G13)/G11</f>
        <v>-0.87460743639921723</v>
      </c>
      <c r="H14" s="5">
        <f>(H11-H13)/H11</f>
        <v>-1.346772104607721</v>
      </c>
    </row>
    <row r="15" spans="1:10" x14ac:dyDescent="0.55000000000000004">
      <c r="A15" t="s">
        <v>35</v>
      </c>
      <c r="B15" t="s">
        <v>34</v>
      </c>
      <c r="C15" s="2" t="s">
        <v>36</v>
      </c>
      <c r="D15" s="7">
        <v>30</v>
      </c>
      <c r="E15" s="7">
        <v>30</v>
      </c>
      <c r="F15" s="7">
        <v>30</v>
      </c>
      <c r="G15" s="7">
        <v>30</v>
      </c>
      <c r="H15" s="7">
        <v>30</v>
      </c>
    </row>
    <row r="16" spans="1:10" x14ac:dyDescent="0.55000000000000004">
      <c r="A16" t="s">
        <v>37</v>
      </c>
      <c r="B16" t="s">
        <v>34</v>
      </c>
      <c r="C16" s="2" t="s">
        <v>38</v>
      </c>
      <c r="D16" s="7">
        <f>D15*D11</f>
        <v>16425000</v>
      </c>
      <c r="E16" s="7">
        <f>E15*E11</f>
        <v>41062500</v>
      </c>
      <c r="F16" s="7">
        <f>F15*F11</f>
        <v>157680000</v>
      </c>
      <c r="G16" s="7">
        <f>G15*G11</f>
        <v>229950000</v>
      </c>
      <c r="H16" s="7">
        <f>H15*H11</f>
        <v>602250000</v>
      </c>
    </row>
    <row r="17" spans="1:8" x14ac:dyDescent="0.55000000000000004">
      <c r="A17" t="s">
        <v>39</v>
      </c>
      <c r="B17" t="s">
        <v>34</v>
      </c>
      <c r="C17" s="2" t="s">
        <v>40</v>
      </c>
      <c r="D17" s="7">
        <v>41884813</v>
      </c>
      <c r="E17" s="7">
        <v>32242901</v>
      </c>
      <c r="F17" s="7">
        <v>150679375</v>
      </c>
      <c r="G17" s="7">
        <v>431068000</v>
      </c>
      <c r="H17" s="7">
        <v>1413343500</v>
      </c>
    </row>
    <row r="18" spans="1:8" x14ac:dyDescent="0.55000000000000004">
      <c r="A18" s="9" t="s">
        <v>41</v>
      </c>
      <c r="B18" s="9" t="s">
        <v>34</v>
      </c>
      <c r="C18" s="9" t="s">
        <v>42</v>
      </c>
      <c r="D18" s="10">
        <f>(D16-D17)/D16</f>
        <v>-1.5500647184170473</v>
      </c>
      <c r="E18" s="10">
        <f t="shared" ref="E18:H18" si="2">(E16-E17)/E16</f>
        <v>0.21478475494672755</v>
      </c>
      <c r="F18" s="10">
        <f t="shared" si="2"/>
        <v>4.4397672501268394E-2</v>
      </c>
      <c r="G18" s="10">
        <f t="shared" si="2"/>
        <v>-0.87461622091759073</v>
      </c>
      <c r="H18" s="10">
        <f t="shared" si="2"/>
        <v>-1.346772104607721</v>
      </c>
    </row>
    <row r="19" spans="1:8" x14ac:dyDescent="0.55000000000000004">
      <c r="A19" t="s">
        <v>17</v>
      </c>
      <c r="B19" t="s">
        <v>33</v>
      </c>
      <c r="C19" s="2" t="s">
        <v>18</v>
      </c>
      <c r="D19" s="3">
        <v>7.6</v>
      </c>
      <c r="E19" s="3">
        <v>5.7</v>
      </c>
      <c r="F19" s="3">
        <v>4.4000000000000004</v>
      </c>
      <c r="G19" s="3">
        <v>3.4</v>
      </c>
      <c r="H19" s="3">
        <v>2.5</v>
      </c>
    </row>
    <row r="20" spans="1:8" x14ac:dyDescent="0.55000000000000004">
      <c r="A20" t="s">
        <v>19</v>
      </c>
      <c r="B20" t="s">
        <v>33</v>
      </c>
      <c r="C20" s="2" t="s">
        <v>20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</row>
    <row r="21" spans="1:8" x14ac:dyDescent="0.55000000000000004">
      <c r="A21" t="s">
        <v>21</v>
      </c>
      <c r="B21" t="s">
        <v>33</v>
      </c>
      <c r="C21" s="2" t="s">
        <v>25</v>
      </c>
      <c r="D21">
        <f>D19*D4/1000</f>
        <v>7.7140000000000004</v>
      </c>
      <c r="E21">
        <f>E19*E4/1000</f>
        <v>34.200000000000003</v>
      </c>
      <c r="F21">
        <f>F19*F4/1000</f>
        <v>132</v>
      </c>
      <c r="G21">
        <f>G19*G4/1000</f>
        <v>255</v>
      </c>
      <c r="H21">
        <f>H19*H4/1000</f>
        <v>500</v>
      </c>
    </row>
    <row r="22" spans="1:8" x14ac:dyDescent="0.55000000000000004">
      <c r="A22" t="s">
        <v>22</v>
      </c>
      <c r="B22" t="s">
        <v>33</v>
      </c>
      <c r="C22" s="2" t="s">
        <v>23</v>
      </c>
      <c r="D22">
        <f>D11*D20</f>
        <v>54750000</v>
      </c>
      <c r="E22">
        <f>E11*E20</f>
        <v>136875000</v>
      </c>
      <c r="F22">
        <f>F11*F20</f>
        <v>525600000</v>
      </c>
      <c r="G22">
        <f>G11*G20</f>
        <v>766500000</v>
      </c>
      <c r="H22">
        <f>H11*H20</f>
        <v>2007500000</v>
      </c>
    </row>
    <row r="23" spans="1:8" x14ac:dyDescent="0.55000000000000004">
      <c r="A23" t="s">
        <v>24</v>
      </c>
      <c r="B23" t="s">
        <v>33</v>
      </c>
      <c r="C23" s="2" t="s">
        <v>27</v>
      </c>
      <c r="D23">
        <f>D21/D22</f>
        <v>1.4089497716894979E-7</v>
      </c>
      <c r="E23">
        <f t="shared" ref="E23:H23" si="3">E21/E22</f>
        <v>2.4986301369863014E-7</v>
      </c>
      <c r="F23">
        <f t="shared" si="3"/>
        <v>2.5114155251141555E-7</v>
      </c>
      <c r="G23">
        <f t="shared" si="3"/>
        <v>3.3268101761252449E-7</v>
      </c>
      <c r="H23">
        <f t="shared" si="3"/>
        <v>2.4906600249066003E-7</v>
      </c>
    </row>
    <row r="24" spans="1:8" x14ac:dyDescent="0.55000000000000004">
      <c r="A24" t="s">
        <v>26</v>
      </c>
      <c r="B24" t="s">
        <v>33</v>
      </c>
      <c r="C24" s="2" t="s">
        <v>28</v>
      </c>
      <c r="D24" s="6">
        <v>1.2380000000000001E-7</v>
      </c>
      <c r="E24" s="6">
        <v>1.6829999999999999E-7</v>
      </c>
      <c r="F24" s="6">
        <v>2.178E-7</v>
      </c>
      <c r="G24" s="6">
        <v>1.6829999999999999E-7</v>
      </c>
      <c r="H24" s="6">
        <v>1.2380000000000001E-7</v>
      </c>
    </row>
    <row r="25" spans="1:8" x14ac:dyDescent="0.55000000000000004">
      <c r="A25" t="s">
        <v>29</v>
      </c>
      <c r="B25" t="s">
        <v>33</v>
      </c>
      <c r="C25" t="s">
        <v>30</v>
      </c>
      <c r="D25" s="5">
        <f>(D23-D24)/D23</f>
        <v>0.12133134560539283</v>
      </c>
      <c r="E25" s="5">
        <f t="shared" ref="E25:H25" si="4">(E23-E24)/E23</f>
        <v>0.32643092105263161</v>
      </c>
      <c r="F25" s="5">
        <f t="shared" si="4"/>
        <v>0.13276000000000004</v>
      </c>
      <c r="G25" s="5">
        <f t="shared" si="4"/>
        <v>0.49411000000000005</v>
      </c>
      <c r="H25" s="5">
        <f t="shared" si="4"/>
        <v>0.50294299999999992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zoomScale="80" zoomScaleNormal="80" workbookViewId="0">
      <selection activeCell="H13" sqref="H13"/>
    </sheetView>
  </sheetViews>
  <sheetFormatPr defaultRowHeight="14.4" x14ac:dyDescent="0.55000000000000004"/>
  <cols>
    <col min="1" max="1" width="24.3671875" bestFit="1" customWidth="1"/>
    <col min="3" max="3" width="41.578125" customWidth="1"/>
    <col min="4" max="8" width="21" customWidth="1"/>
    <col min="11" max="11" width="11.578125" bestFit="1" customWidth="1"/>
  </cols>
  <sheetData>
    <row r="1" spans="1:9" x14ac:dyDescent="0.55000000000000004">
      <c r="B1" t="s">
        <v>32</v>
      </c>
      <c r="C1" t="s">
        <v>15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</row>
    <row r="2" spans="1:9" x14ac:dyDescent="0.55000000000000004">
      <c r="A2" t="s">
        <v>74</v>
      </c>
      <c r="B2" t="s">
        <v>34</v>
      </c>
      <c r="C2" t="s">
        <v>75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</row>
    <row r="3" spans="1:9" x14ac:dyDescent="0.55000000000000004">
      <c r="A3" t="s">
        <v>73</v>
      </c>
      <c r="B3" t="s">
        <v>34</v>
      </c>
      <c r="C3" t="s">
        <v>72</v>
      </c>
      <c r="D3" t="s">
        <v>94</v>
      </c>
      <c r="E3" t="s">
        <v>95</v>
      </c>
      <c r="F3" t="s">
        <v>96</v>
      </c>
      <c r="G3" t="s">
        <v>97</v>
      </c>
      <c r="H3" t="s">
        <v>98</v>
      </c>
    </row>
    <row r="4" spans="1:9" ht="15.3" x14ac:dyDescent="0.55000000000000004">
      <c r="A4" t="s">
        <v>70</v>
      </c>
      <c r="B4" t="s">
        <v>34</v>
      </c>
      <c r="C4" t="s">
        <v>71</v>
      </c>
      <c r="D4" s="12" t="s">
        <v>91</v>
      </c>
      <c r="E4" s="12" t="s">
        <v>88</v>
      </c>
      <c r="F4" s="12" t="s">
        <v>92</v>
      </c>
      <c r="G4" s="12" t="s">
        <v>92</v>
      </c>
      <c r="H4" s="12" t="s">
        <v>90</v>
      </c>
      <c r="I4" s="12" t="s">
        <v>89</v>
      </c>
    </row>
    <row r="5" spans="1:9" x14ac:dyDescent="0.55000000000000004">
      <c r="A5" t="s">
        <v>49</v>
      </c>
      <c r="B5" t="s">
        <v>34</v>
      </c>
      <c r="C5" t="s">
        <v>5</v>
      </c>
      <c r="D5">
        <v>200000</v>
      </c>
      <c r="E5">
        <v>75000</v>
      </c>
      <c r="F5">
        <f>(F6+F7)/2</f>
        <v>35000</v>
      </c>
      <c r="G5">
        <f>(G6+G7)/2</f>
        <v>15000</v>
      </c>
      <c r="H5">
        <f>(H6+H7)/2</f>
        <v>6000</v>
      </c>
      <c r="I5">
        <f>(I6+I7)/2</f>
        <v>1015</v>
      </c>
    </row>
    <row r="6" spans="1:9" x14ac:dyDescent="0.55000000000000004">
      <c r="A6" t="s">
        <v>50</v>
      </c>
      <c r="B6" t="s">
        <v>34</v>
      </c>
      <c r="C6" t="s">
        <v>11</v>
      </c>
      <c r="D6">
        <v>100000</v>
      </c>
      <c r="E6">
        <v>50000</v>
      </c>
      <c r="F6">
        <v>20000</v>
      </c>
      <c r="G6">
        <v>10000</v>
      </c>
      <c r="H6">
        <v>10000</v>
      </c>
      <c r="I6">
        <v>30</v>
      </c>
    </row>
    <row r="7" spans="1:9" x14ac:dyDescent="0.55000000000000004">
      <c r="A7" t="s">
        <v>51</v>
      </c>
      <c r="B7" t="s">
        <v>34</v>
      </c>
      <c r="C7" t="s">
        <v>12</v>
      </c>
      <c r="D7" s="4" t="s">
        <v>13</v>
      </c>
      <c r="E7">
        <v>100000</v>
      </c>
      <c r="F7">
        <v>50000</v>
      </c>
      <c r="G7">
        <v>20000</v>
      </c>
      <c r="H7">
        <v>2000</v>
      </c>
      <c r="I7">
        <v>2000</v>
      </c>
    </row>
    <row r="8" spans="1:9" x14ac:dyDescent="0.55000000000000004">
      <c r="A8" t="s">
        <v>52</v>
      </c>
      <c r="B8" t="s">
        <v>34</v>
      </c>
      <c r="C8" t="s">
        <v>6</v>
      </c>
      <c r="D8">
        <v>233225</v>
      </c>
      <c r="E8">
        <v>71133</v>
      </c>
      <c r="F8">
        <v>24865</v>
      </c>
      <c r="G8">
        <v>24865</v>
      </c>
      <c r="H8">
        <v>5321</v>
      </c>
      <c r="I8">
        <v>806</v>
      </c>
    </row>
    <row r="9" spans="1:9" x14ac:dyDescent="0.55000000000000004">
      <c r="A9" t="s">
        <v>53</v>
      </c>
      <c r="B9" t="s">
        <v>34</v>
      </c>
      <c r="C9" t="s">
        <v>16</v>
      </c>
      <c r="D9" s="5">
        <f>(D5-D8)/D5</f>
        <v>-0.16612499999999999</v>
      </c>
      <c r="E9" s="5">
        <f>(E5-E8)/E5</f>
        <v>5.1560000000000002E-2</v>
      </c>
      <c r="F9" s="5">
        <f>(F5-F8)/F5</f>
        <v>0.28957142857142859</v>
      </c>
      <c r="G9" s="5">
        <f t="shared" ref="G9:H9" si="0">(G5-G8)/G5</f>
        <v>-0.65766666666666662</v>
      </c>
      <c r="H9" s="5">
        <f t="shared" si="0"/>
        <v>0.11316666666666667</v>
      </c>
      <c r="I9" s="15" t="s">
        <v>87</v>
      </c>
    </row>
    <row r="10" spans="1:9" x14ac:dyDescent="0.55000000000000004">
      <c r="A10" t="s">
        <v>48</v>
      </c>
      <c r="B10" t="s">
        <v>34</v>
      </c>
      <c r="C10" s="2" t="s">
        <v>7</v>
      </c>
      <c r="D10" s="2" t="s">
        <v>4</v>
      </c>
      <c r="E10" s="2" t="s">
        <v>3</v>
      </c>
      <c r="F10" s="18" t="s">
        <v>2</v>
      </c>
      <c r="G10" s="18" t="s">
        <v>1</v>
      </c>
      <c r="H10" s="2" t="s">
        <v>0</v>
      </c>
      <c r="I10" s="2" t="s">
        <v>87</v>
      </c>
    </row>
    <row r="11" spans="1:9" ht="16.5" x14ac:dyDescent="0.55000000000000004">
      <c r="A11" t="s">
        <v>47</v>
      </c>
      <c r="B11" t="s">
        <v>34</v>
      </c>
      <c r="C11" s="2" t="s">
        <v>8</v>
      </c>
      <c r="D11" s="3">
        <v>55000</v>
      </c>
      <c r="E11" s="3">
        <v>21000</v>
      </c>
      <c r="F11" s="3">
        <v>14400</v>
      </c>
      <c r="G11" s="3">
        <v>3750</v>
      </c>
      <c r="H11" s="3">
        <v>1500</v>
      </c>
      <c r="I11" s="2" t="s">
        <v>87</v>
      </c>
    </row>
    <row r="12" spans="1:9" ht="16.5" x14ac:dyDescent="0.55000000000000004">
      <c r="A12" t="s">
        <v>46</v>
      </c>
      <c r="B12" t="s">
        <v>34</v>
      </c>
      <c r="C12" s="2" t="s">
        <v>9</v>
      </c>
      <c r="D12" s="8">
        <v>20075000</v>
      </c>
      <c r="E12" s="8">
        <v>7665000</v>
      </c>
      <c r="F12" s="8">
        <v>5256000</v>
      </c>
      <c r="G12" s="8">
        <v>1368750</v>
      </c>
      <c r="H12" s="8">
        <v>547500</v>
      </c>
      <c r="I12" s="2" t="s">
        <v>87</v>
      </c>
    </row>
    <row r="13" spans="1:9" x14ac:dyDescent="0.55000000000000004">
      <c r="A13" t="s">
        <v>54</v>
      </c>
      <c r="B13" t="s">
        <v>34</v>
      </c>
      <c r="C13" s="2" t="s">
        <v>10</v>
      </c>
      <c r="D13" s="3">
        <v>206250</v>
      </c>
      <c r="E13" s="3">
        <v>105000</v>
      </c>
      <c r="F13" s="3">
        <v>44153</v>
      </c>
      <c r="G13" s="3">
        <v>18750</v>
      </c>
      <c r="H13" s="3">
        <v>8750</v>
      </c>
      <c r="I13" s="2" t="s">
        <v>87</v>
      </c>
    </row>
    <row r="14" spans="1:9" x14ac:dyDescent="0.55000000000000004">
      <c r="A14" t="s">
        <v>55</v>
      </c>
      <c r="B14" t="s">
        <v>34</v>
      </c>
      <c r="C14" s="2" t="s">
        <v>14</v>
      </c>
      <c r="D14">
        <f>D8*202</f>
        <v>47111450</v>
      </c>
      <c r="E14">
        <f>E8*202</f>
        <v>14368866</v>
      </c>
      <c r="F14">
        <f>F8*202</f>
        <v>5022730</v>
      </c>
      <c r="G14">
        <f t="shared" ref="G14" si="1">G8*202</f>
        <v>5022730</v>
      </c>
      <c r="H14">
        <f>H8*202</f>
        <v>1074842</v>
      </c>
      <c r="I14" s="15">
        <f>I8*202</f>
        <v>162812</v>
      </c>
    </row>
    <row r="15" spans="1:9" x14ac:dyDescent="0.55000000000000004">
      <c r="A15" t="s">
        <v>56</v>
      </c>
      <c r="B15" t="s">
        <v>34</v>
      </c>
      <c r="C15" s="14" t="s">
        <v>31</v>
      </c>
      <c r="D15" s="13">
        <f>(D12-D14)/D12</f>
        <v>-1.346772104607721</v>
      </c>
      <c r="E15" s="13">
        <f>(E12-E14)/E12</f>
        <v>-0.87460743639921723</v>
      </c>
      <c r="F15" s="13">
        <f>(F12-F14)/F12</f>
        <v>4.4381659056316587E-2</v>
      </c>
      <c r="G15" s="13">
        <f>(G12-G14)/G12</f>
        <v>-2.6695744292237444</v>
      </c>
      <c r="H15" s="13">
        <f>(H12-H14)/H12</f>
        <v>-0.96318173515981731</v>
      </c>
      <c r="I15" s="2" t="s">
        <v>87</v>
      </c>
    </row>
    <row r="16" spans="1:9" x14ac:dyDescent="0.55000000000000004">
      <c r="A16" t="s">
        <v>35</v>
      </c>
      <c r="B16" t="s">
        <v>34</v>
      </c>
      <c r="C16" s="2" t="s">
        <v>36</v>
      </c>
      <c r="D16" s="7">
        <v>30</v>
      </c>
      <c r="E16" s="7">
        <v>30</v>
      </c>
      <c r="F16" s="7">
        <v>30</v>
      </c>
      <c r="G16" s="7">
        <v>30</v>
      </c>
      <c r="H16" s="7">
        <v>30</v>
      </c>
      <c r="I16" s="16">
        <v>30</v>
      </c>
    </row>
    <row r="17" spans="1:11" x14ac:dyDescent="0.55000000000000004">
      <c r="A17" t="s">
        <v>37</v>
      </c>
      <c r="B17" t="s">
        <v>34</v>
      </c>
      <c r="C17" s="2" t="s">
        <v>38</v>
      </c>
      <c r="D17" s="7">
        <f>D16*D12</f>
        <v>602250000</v>
      </c>
      <c r="E17" s="7">
        <f>E16*E12</f>
        <v>229950000</v>
      </c>
      <c r="F17" s="7">
        <f>F16*F12</f>
        <v>157680000</v>
      </c>
      <c r="G17" s="7">
        <f>G16*G12</f>
        <v>41062500</v>
      </c>
      <c r="H17" s="7">
        <f>H16*H12</f>
        <v>16425000</v>
      </c>
      <c r="I17" s="17" t="s">
        <v>93</v>
      </c>
    </row>
    <row r="18" spans="1:11" x14ac:dyDescent="0.55000000000000004">
      <c r="A18" t="s">
        <v>39</v>
      </c>
      <c r="B18" t="s">
        <v>34</v>
      </c>
      <c r="C18" s="2" t="s">
        <v>40</v>
      </c>
      <c r="D18" s="7">
        <f>D16*D14</f>
        <v>1413343500</v>
      </c>
      <c r="E18" s="7">
        <f t="shared" ref="E18:I18" si="2">E16*E14</f>
        <v>431065980</v>
      </c>
      <c r="F18" s="7">
        <f t="shared" si="2"/>
        <v>150681900</v>
      </c>
      <c r="G18" s="7">
        <f t="shared" si="2"/>
        <v>150681900</v>
      </c>
      <c r="H18" s="7">
        <f t="shared" si="2"/>
        <v>32245260</v>
      </c>
      <c r="I18" s="16">
        <f t="shared" si="2"/>
        <v>4884360</v>
      </c>
    </row>
    <row r="19" spans="1:11" x14ac:dyDescent="0.55000000000000004">
      <c r="A19" s="9" t="s">
        <v>41</v>
      </c>
      <c r="B19" s="9" t="s">
        <v>34</v>
      </c>
      <c r="C19" s="9" t="s">
        <v>42</v>
      </c>
      <c r="D19" s="10">
        <f>(D17-D18)/D17</f>
        <v>-1.346772104607721</v>
      </c>
      <c r="E19" s="10">
        <f>(E17-E18)/E17</f>
        <v>-0.87460743639921723</v>
      </c>
      <c r="F19" s="10">
        <f>(F17-F18)/F17</f>
        <v>4.4381659056316587E-2</v>
      </c>
      <c r="G19" s="10">
        <f t="shared" ref="G19" si="3">(G17-G18)/G17</f>
        <v>-2.6695744292237444</v>
      </c>
      <c r="H19" s="10">
        <f>(H17-H18)/H17</f>
        <v>-0.96318173515981731</v>
      </c>
      <c r="I19" s="15"/>
    </row>
    <row r="20" spans="1:11" x14ac:dyDescent="0.55000000000000004">
      <c r="A20" t="s">
        <v>17</v>
      </c>
      <c r="B20" t="s">
        <v>33</v>
      </c>
      <c r="C20" s="2" t="s">
        <v>18</v>
      </c>
      <c r="D20" s="3">
        <v>2.5</v>
      </c>
      <c r="E20" s="3">
        <v>3.4</v>
      </c>
      <c r="F20" s="3">
        <v>4.4000000000000004</v>
      </c>
      <c r="G20" s="3">
        <v>4.4000000000000004</v>
      </c>
      <c r="H20" s="3">
        <v>5.7</v>
      </c>
      <c r="I20" s="3">
        <v>7.6</v>
      </c>
    </row>
    <row r="21" spans="1:11" x14ac:dyDescent="0.55000000000000004">
      <c r="A21" t="s">
        <v>19</v>
      </c>
      <c r="B21" t="s">
        <v>33</v>
      </c>
      <c r="C21" s="2" t="s">
        <v>20</v>
      </c>
      <c r="D21" s="3">
        <v>100</v>
      </c>
      <c r="E21" s="3">
        <v>100</v>
      </c>
      <c r="F21" s="3">
        <v>100</v>
      </c>
      <c r="G21" s="3">
        <v>100</v>
      </c>
      <c r="H21" s="3">
        <v>100</v>
      </c>
      <c r="I21" s="3">
        <v>100</v>
      </c>
    </row>
    <row r="22" spans="1:11" x14ac:dyDescent="0.55000000000000004">
      <c r="A22" t="s">
        <v>21</v>
      </c>
      <c r="B22" t="s">
        <v>33</v>
      </c>
      <c r="C22" s="2" t="s">
        <v>25</v>
      </c>
      <c r="D22">
        <f>D20*D5/1000</f>
        <v>500</v>
      </c>
      <c r="E22">
        <f>E20*E5/1000</f>
        <v>255</v>
      </c>
      <c r="F22">
        <f>F20*F5/1000</f>
        <v>154</v>
      </c>
      <c r="G22">
        <f t="shared" ref="G22:I22" si="4">G20*G5/1000</f>
        <v>66</v>
      </c>
      <c r="H22">
        <f t="shared" si="4"/>
        <v>34.200000000000003</v>
      </c>
      <c r="I22" s="15">
        <f t="shared" si="4"/>
        <v>7.7140000000000004</v>
      </c>
    </row>
    <row r="23" spans="1:11" ht="15.3" x14ac:dyDescent="0.55000000000000004">
      <c r="A23" t="s">
        <v>22</v>
      </c>
      <c r="B23" t="s">
        <v>33</v>
      </c>
      <c r="C23" s="2" t="s">
        <v>23</v>
      </c>
      <c r="D23">
        <f>D12*D21</f>
        <v>2007500000</v>
      </c>
      <c r="E23">
        <f>E12*E21</f>
        <v>766500000</v>
      </c>
      <c r="F23">
        <f>F12*F21</f>
        <v>525600000</v>
      </c>
      <c r="G23">
        <f>G12*G21</f>
        <v>136875000</v>
      </c>
      <c r="H23">
        <f>H12*H21</f>
        <v>54750000</v>
      </c>
      <c r="I23" s="15" t="s">
        <v>87</v>
      </c>
      <c r="K23" s="12"/>
    </row>
    <row r="24" spans="1:11" ht="15.3" x14ac:dyDescent="0.55000000000000004">
      <c r="A24" t="s">
        <v>24</v>
      </c>
      <c r="B24" t="s">
        <v>33</v>
      </c>
      <c r="C24" s="2" t="s">
        <v>27</v>
      </c>
      <c r="D24">
        <f>D22/D23</f>
        <v>2.4906600249066003E-7</v>
      </c>
      <c r="E24">
        <f>E22/E23</f>
        <v>3.3268101761252449E-7</v>
      </c>
      <c r="F24">
        <f>F22/F23</f>
        <v>2.9299847792998476E-7</v>
      </c>
      <c r="G24">
        <f t="shared" ref="G24" si="5">G22/G23</f>
        <v>4.8219178082191784E-7</v>
      </c>
      <c r="H24">
        <f>H22/H23</f>
        <v>6.2465753424657535E-7</v>
      </c>
      <c r="I24" s="15" t="s">
        <v>87</v>
      </c>
      <c r="K24" s="12"/>
    </row>
    <row r="25" spans="1:11" ht="15.3" x14ac:dyDescent="0.55000000000000004">
      <c r="A25" t="s">
        <v>26</v>
      </c>
      <c r="B25" t="s">
        <v>33</v>
      </c>
      <c r="C25" s="2" t="s">
        <v>28</v>
      </c>
      <c r="D25" s="6">
        <v>1.2380000000000001E-7</v>
      </c>
      <c r="E25" s="6">
        <v>1.6829999999999999E-7</v>
      </c>
      <c r="F25" s="6">
        <v>2.178E-7</v>
      </c>
      <c r="G25" s="6">
        <v>2.178E-7</v>
      </c>
      <c r="H25" s="6">
        <v>1.6829999999999999E-7</v>
      </c>
      <c r="I25" s="6" t="s">
        <v>93</v>
      </c>
      <c r="K25" s="12"/>
    </row>
    <row r="26" spans="1:11" ht="15.3" x14ac:dyDescent="0.55000000000000004">
      <c r="A26" t="s">
        <v>29</v>
      </c>
      <c r="B26" t="s">
        <v>33</v>
      </c>
      <c r="C26" t="s">
        <v>30</v>
      </c>
      <c r="D26" s="5">
        <f>(D24-D25)/D24</f>
        <v>0.50294299999999992</v>
      </c>
      <c r="E26" s="5">
        <f>(E24-E25)/E24</f>
        <v>0.49411000000000005</v>
      </c>
      <c r="F26" s="5">
        <f>(F24-F25)/F24</f>
        <v>0.25665142857142853</v>
      </c>
      <c r="G26" s="5">
        <f t="shared" ref="G26" si="6">(G24-G25)/G24</f>
        <v>0.54831249999999998</v>
      </c>
      <c r="H26" s="5">
        <f>(H24-H25)/H24</f>
        <v>0.73057236842105266</v>
      </c>
      <c r="I26" s="5" t="s">
        <v>87</v>
      </c>
      <c r="K26" s="12"/>
    </row>
    <row r="27" spans="1:11" ht="15.3" x14ac:dyDescent="0.55000000000000004">
      <c r="K2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Lesage</dc:creator>
  <cp:lastModifiedBy>Pascal Lesage</cp:lastModifiedBy>
  <dcterms:created xsi:type="dcterms:W3CDTF">2018-04-12T18:13:11Z</dcterms:created>
  <dcterms:modified xsi:type="dcterms:W3CDTF">2018-04-17T16:54:15Z</dcterms:modified>
</cp:coreProperties>
</file>