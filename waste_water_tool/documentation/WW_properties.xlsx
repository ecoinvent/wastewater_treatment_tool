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py\code\wastewater_treatment_tool\waste_water_tool\documentation\"/>
    </mc:Choice>
  </mc:AlternateContent>
  <bookViews>
    <workbookView xWindow="0" yWindow="0" windowWidth="23040" windowHeight="8808"/>
  </bookViews>
  <sheets>
    <sheet name="WW_props" sheetId="1" r:id="rId1"/>
    <sheet name="Missing" sheetId="2" r:id="rId2"/>
  </sheets>
  <definedNames>
    <definedName name="_xlnm._FilterDatabase" localSheetId="0" hidden="1">WW_props!$A$1:$U$1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4" i="1" l="1"/>
  <c r="S53" i="1"/>
  <c r="S52" i="1"/>
  <c r="S51" i="1"/>
  <c r="S4" i="2" l="1"/>
  <c r="S3" i="2"/>
  <c r="S2" i="2"/>
  <c r="S1" i="2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2" i="1"/>
  <c r="S11" i="1"/>
  <c r="S10" i="1"/>
  <c r="S9" i="1"/>
  <c r="S8" i="1"/>
  <c r="S7" i="1"/>
  <c r="S6" i="1"/>
  <c r="S15" i="1"/>
  <c r="S14" i="1"/>
  <c r="S13" i="1"/>
  <c r="S5" i="1"/>
  <c r="S4" i="1"/>
  <c r="S3" i="1"/>
  <c r="S2" i="1"/>
</calcChain>
</file>

<file path=xl/sharedStrings.xml><?xml version="1.0" encoding="utf-8"?>
<sst xmlns="http://schemas.openxmlformats.org/spreadsheetml/2006/main" count="443" uniqueCount="298">
  <si>
    <t>dd13a45c-ddd8-414d-821f-dfe31c7d2868</t>
  </si>
  <si>
    <t>BOD5, mass per volume</t>
  </si>
  <si>
    <t>kg/m3</t>
  </si>
  <si>
    <t>Biological Oxygen Demand BOD5, as O2</t>
  </si>
  <si>
    <t>3f469e9e-267a-4100-9f43-4297441dc726</t>
  </si>
  <si>
    <t>COD, mass per volume</t>
  </si>
  <si>
    <t>Chemical Oxygen Demand as O2</t>
  </si>
  <si>
    <t>efe22a60-b1a3-4b33-a5ba-4bf575e0a889</t>
  </si>
  <si>
    <t>mass concentration, DOC</t>
  </si>
  <si>
    <t>Mass concentration of Dissolved Organic Carbon</t>
  </si>
  <si>
    <t>a547f885-601d-4d52-9bf9-60f0cef06269</t>
  </si>
  <si>
    <t>mass concentration, TOC</t>
  </si>
  <si>
    <t>Mass concentration of Total Organic Carbon</t>
  </si>
  <si>
    <t>1e4ef691-c7d3-49fc-9aee-6d77575a7b8a</t>
  </si>
  <si>
    <t>mass concentration, dissolved sulfate SO4 as S</t>
  </si>
  <si>
    <t>Mass concentration of dissolved sulfate SO4 (CAS 014808-79-8) as S. Note that dissolved and particulate S are optional yet desirable specifications of total sulfur.</t>
  </si>
  <si>
    <t>8175120e-a5b7-4f19-afca-5620e9e4dd8b</t>
  </si>
  <si>
    <t>mass concentration, particulate sulfur</t>
  </si>
  <si>
    <t>Mass concentration of particulate sulfur as S. Note that dissolved and particulate S are optional yet desirable specifications of total sulfur.</t>
  </si>
  <si>
    <t>7f3410da-b91e-40d8-9545-ab269ff66900</t>
  </si>
  <si>
    <t>mass concentration, sulfur</t>
  </si>
  <si>
    <t>Mass concentration of sulfur as S (Stot.). (CAS 007704-34-9)</t>
  </si>
  <si>
    <t>f7fa53fa-ee5f-4a97-bcd8-1b0851afe9a6</t>
  </si>
  <si>
    <t>mass concentration, dissolved ammonia NH4 as N</t>
  </si>
  <si>
    <t>Mass concentration of dissolved ammonia NH4 (CAS 007664-41-7) as N. Note that dissolved and particulate N are optional yet desirable specifications of total nitrogen.</t>
  </si>
  <si>
    <t>4f461b9d-5a7b-4a46-8803-23f6df0dc522</t>
  </si>
  <si>
    <t>mass concentration, dissolved nitrate NO3 as N</t>
  </si>
  <si>
    <t>Mass concentration of dissolved nitrate NO3 (CAS 014797-55-8) as N. Note that dissolved and particulate N are optional yet desirable specifications of total nitrogen.</t>
  </si>
  <si>
    <t>c8ebc911-268a-4dfe-a426-73e1e35b587a</t>
  </si>
  <si>
    <t>mass concentration, dissolved nitrite NO2 as N</t>
  </si>
  <si>
    <t>Mass concentration of dissolved nitrite NO2 (CAS 014797-65-0) as N. Note that dissolved and particulate N are optional yet desirable specifications of total nitrogen.</t>
  </si>
  <si>
    <t>88c9f622-8451-41aa-98b0-c56b191a7e0a</t>
  </si>
  <si>
    <t>mass concentration, particulate nitrogen</t>
  </si>
  <si>
    <t>Mass concentration of particulate nitrogen as N. Note that dissolved and particulate N are optional yet desirable specifications of total nitrogen.</t>
  </si>
  <si>
    <t>cbc4a2c2-1710-4e6c-9b90-e1e72819d7b9</t>
  </si>
  <si>
    <t>mass concentration, dissolved organic nitrogen as N</t>
  </si>
  <si>
    <t>Mass concentration of dissolved organic nitrogen as N. Note that dissolved and particulate N are optional yet desirable specifications of total nitrogen.</t>
  </si>
  <si>
    <t>Carbon</t>
  </si>
  <si>
    <t>Sulfur</t>
  </si>
  <si>
    <t>Nitrogen</t>
  </si>
  <si>
    <t>Phosphorus</t>
  </si>
  <si>
    <t>other</t>
  </si>
  <si>
    <t>Boron  B</t>
  </si>
  <si>
    <t>Chlorine  Cl</t>
  </si>
  <si>
    <t>Bromium  Br</t>
  </si>
  <si>
    <t>Fluorine  F</t>
  </si>
  <si>
    <t>Iodine  I</t>
  </si>
  <si>
    <t>Silver  Ag</t>
  </si>
  <si>
    <t>Arsenic  As</t>
  </si>
  <si>
    <t>Barium  Ba</t>
  </si>
  <si>
    <t>Cadmium  Cd</t>
  </si>
  <si>
    <t>Cobalt  Co</t>
  </si>
  <si>
    <t>Chromium  Cr</t>
  </si>
  <si>
    <t>Copper  Cu</t>
  </si>
  <si>
    <t>Mercury  Hg</t>
  </si>
  <si>
    <t>Manganese  Mn</t>
  </si>
  <si>
    <t>Molybdenum  Mo</t>
  </si>
  <si>
    <t>Nickel  Ni</t>
  </si>
  <si>
    <t>Lead  Pb</t>
  </si>
  <si>
    <t>Antimony  Sb</t>
  </si>
  <si>
    <t>Selenium  Se</t>
  </si>
  <si>
    <t>Tin  Sn</t>
  </si>
  <si>
    <t>Vanadium  V</t>
  </si>
  <si>
    <t>Zinc  Zn</t>
  </si>
  <si>
    <t>Beryllium  Be</t>
  </si>
  <si>
    <t>Scandium  Sc</t>
  </si>
  <si>
    <t>Strontium  Sr</t>
  </si>
  <si>
    <t>Titanium  Ti</t>
  </si>
  <si>
    <t>Thallium  Tl</t>
  </si>
  <si>
    <t>Tungsten  W</t>
  </si>
  <si>
    <t>Silicon  Si</t>
  </si>
  <si>
    <t>Iron  Fe</t>
  </si>
  <si>
    <t>Calcium  Ca</t>
  </si>
  <si>
    <t>Aluminium  Al</t>
  </si>
  <si>
    <t>Potassium  K</t>
  </si>
  <si>
    <t>Magnesium  Mg</t>
  </si>
  <si>
    <t>Sodium  Na</t>
  </si>
  <si>
    <t>f04a971d-f503-4ca0-b2b1-0ecd2e53ea61</t>
  </si>
  <si>
    <t>mass concentration, nitrogen</t>
  </si>
  <si>
    <t>Mass concentration of nitrogen (Ntot.) as N</t>
  </si>
  <si>
    <t>7fe01cf6-6e7b-487f-b37e-32388640a8a4</t>
  </si>
  <si>
    <t>mass concentration, dissolved phosphate PO4 as P</t>
  </si>
  <si>
    <t>Mass concentration of Dissolved Phosphate PO4 as P. Note that dissolved and particulate P are optional yet desirable specifications of total phosphorous.</t>
  </si>
  <si>
    <t>c0447419-7139-44fe-a855-ea71e2b78585</t>
  </si>
  <si>
    <t>mass concentration, boron</t>
  </si>
  <si>
    <t>Mass concentration of Boron.    (CAS 007440-42-8)</t>
  </si>
  <si>
    <t>468e50e8-1960-4eba-bc1a-a9938a301694</t>
  </si>
  <si>
    <t>mass concentration, chlorine</t>
  </si>
  <si>
    <t>Mass concentration of Chlorine.    (CAS 007782-50-5)</t>
  </si>
  <si>
    <t>e4504511-88b5-4b01-a537-e049f056668c</t>
  </si>
  <si>
    <t>mass concentration, bromine</t>
  </si>
  <si>
    <t>Mass concentration of Bromine.    (CAS 007726-95-6)</t>
  </si>
  <si>
    <t>763a698f-54d7-4e2a-84a7-9cc8c0271b6a</t>
  </si>
  <si>
    <t>mass concentration, fluorine</t>
  </si>
  <si>
    <t>Mass concentration of Fluorine.    (CAS 007782-41-4)</t>
  </si>
  <si>
    <t>e9164ff3-fd2d-4050-895d-0e0a42317be2</t>
  </si>
  <si>
    <t>mass concentration, iodine</t>
  </si>
  <si>
    <t>Mass concentration of Iodine.    (CAS 007553-56-2)</t>
  </si>
  <si>
    <t>dcdc6c7b-0b72-4174-bc90-f51ed66426d5</t>
  </si>
  <si>
    <t>mass concentration, silver</t>
  </si>
  <si>
    <t>Mass concentration of Silver.    (CAS 007440-22-4)</t>
  </si>
  <si>
    <t>b321f120-4db7-4e7c-a196-82a231023052</t>
  </si>
  <si>
    <t>mass concentration, arsenic</t>
  </si>
  <si>
    <t>Mass concentration of Arsenic.    (CAS 007440-38-2)</t>
  </si>
  <si>
    <t>1111ac7e-20df-4ab4-9e02-57821894372c</t>
  </si>
  <si>
    <t>mass concentration, cadmium</t>
  </si>
  <si>
    <t>Mass concentration of Cadmium.    (CAS 007440-43-9)</t>
  </si>
  <si>
    <t>2f7030b9-bafc-4b43-8504-deb8b5044130</t>
  </si>
  <si>
    <t>mass concentration, cobalt</t>
  </si>
  <si>
    <t>Mass concentration of Cobalt.    (CAS 007440-48-4)</t>
  </si>
  <si>
    <t>bca4bb32-f701-46bb-ba1e-bad477c19f7f</t>
  </si>
  <si>
    <t>mass concentration, chromium</t>
  </si>
  <si>
    <t>Mass concentration of Chromium.    (CAS 007440-47-3)</t>
  </si>
  <si>
    <t>e7451d8a-77af-44e0-86cf-ccd17ac84509</t>
  </si>
  <si>
    <t>mass concentration, copper</t>
  </si>
  <si>
    <t>Mass concentration of Copper.    (CAS 007440-50-8)</t>
  </si>
  <si>
    <t>a102e6f8-ebc7-450b-a39b-794be96558b7</t>
  </si>
  <si>
    <t>mass concentration, mercury</t>
  </si>
  <si>
    <t>Mass concentration of Mercury.    (CAS 007439-97-6)</t>
  </si>
  <si>
    <t>aa897226-0a91-40e5-aa05-4bae3b9e4213</t>
  </si>
  <si>
    <t>mass concentration, molybdenum</t>
  </si>
  <si>
    <t>Mass concentration of Molybdenum.    (CAS 007439-98-7)</t>
  </si>
  <si>
    <t>8b574e85-ff07-46bf-a753-f1271299dcf7</t>
  </si>
  <si>
    <t>mass concentration, nickel</t>
  </si>
  <si>
    <t>Mass concentration of Nickel.    (CAS 007440-02-0)</t>
  </si>
  <si>
    <t>71bc04b9-abfe-4f30-ab8f-ba654c7ad296</t>
  </si>
  <si>
    <t>mass concentration, lead</t>
  </si>
  <si>
    <t>Mass concentration of Lead.    (CAS 007439-92-1)</t>
  </si>
  <si>
    <t>3759d833-560a-4dbb-949e-afc63c0ade26</t>
  </si>
  <si>
    <t>mass concentration, antimony</t>
  </si>
  <si>
    <t>Mass concentration of Antimony.    (CAS 007440-36-0)</t>
  </si>
  <si>
    <t>c35265a9-fd3e-468c-af8e-f4e020c38fc0</t>
  </si>
  <si>
    <t>mass concentration, selenium</t>
  </si>
  <si>
    <t>Mass concentration of Selenium.    (CAS 007782-49-2)</t>
  </si>
  <si>
    <t>ff888459-10c3-4700-afce-3a024aaf89cf</t>
  </si>
  <si>
    <t>mass concentration, tin</t>
  </si>
  <si>
    <t>Mass concentration of Tin.    (CAS 007440-31-5)</t>
  </si>
  <si>
    <t>0b686a86-c506-4ad3-81fd-c3f39f05247d</t>
  </si>
  <si>
    <t>mass concentration, vanadium</t>
  </si>
  <si>
    <t>Mass concentration of Vanadium.    (CAS 007440-62-2)</t>
  </si>
  <si>
    <t>6cc518c8-4769-40df-b2cf-03f9fe00b759</t>
  </si>
  <si>
    <t>mass concentration, zinc</t>
  </si>
  <si>
    <t>Mass concentration of Zinc.    (CAS 007440-66-6)</t>
  </si>
  <si>
    <t>d21c7c5c-b2c2-43ae-8575-c377cc0b0495</t>
  </si>
  <si>
    <t>mass concentration, beryllium</t>
  </si>
  <si>
    <t>Mass concentration of Beryllium.    (CAS 007440-41-7)</t>
  </si>
  <si>
    <t>1325d7f9-2fe2-4226-9304-ad9e5371e08f</t>
  </si>
  <si>
    <t>mass concentration, scandium</t>
  </si>
  <si>
    <t>Mass concentration of Scandium.    (CAS 007440-20-2)</t>
  </si>
  <si>
    <t>d574cc22-07f2-4202-b564-1116ab197692</t>
  </si>
  <si>
    <t>mass concentration, strontium</t>
  </si>
  <si>
    <t>Mass concentration of Strontium.    (CAS 007440-24-6)</t>
  </si>
  <si>
    <t>abc78955-bd5f-4b1a-9607-0448dd75ebf2</t>
  </si>
  <si>
    <t>mass concentration, titanium</t>
  </si>
  <si>
    <t>Mass concentration of Titanium.    (CAS 007440-32-6)</t>
  </si>
  <si>
    <t>79baac3d-9e62-45ef-8f41-440dea32f11f</t>
  </si>
  <si>
    <t>mass concentration, thallium</t>
  </si>
  <si>
    <t>Mass concentration of Thallium.    (CAS 007440-28-0)</t>
  </si>
  <si>
    <t>058d6d50-172b-4a8a-97da-0cee759eca7d</t>
  </si>
  <si>
    <t>mass concentration, tungsten</t>
  </si>
  <si>
    <t>Mass concentration of Tungsten.    (CAS 007440-33-7)</t>
  </si>
  <si>
    <t>67065577-4705-4ece-a892-6dd1d7ecd1e5</t>
  </si>
  <si>
    <t>mass concentration, silicon</t>
  </si>
  <si>
    <t>Mass concentration of Silicon.    (CAS 007440-21-3)</t>
  </si>
  <si>
    <t>ebf21bca-b7cf-45d0-9d82-bfb80519a970</t>
  </si>
  <si>
    <t>mass concentration, iron</t>
  </si>
  <si>
    <t>Mass concentration of Iron.    (CAS 007439-89-6)</t>
  </si>
  <si>
    <t>ddbab0d1-b156-41bc-98e5-fb680285d7cd</t>
  </si>
  <si>
    <t>mass concentration, calcium</t>
  </si>
  <si>
    <t>Mass concentration of Calcium.    (CAS 007440-70-2)</t>
  </si>
  <si>
    <t>77154d2e-4b05-48f2-a89a-789acd170497</t>
  </si>
  <si>
    <t>mass concentration, aluminium</t>
  </si>
  <si>
    <t>Mass concentration of Aluminium.    (CAS 007429-90-5)</t>
  </si>
  <si>
    <t>8b49eeb7-9caf-4101-b516-eb0aef30d530</t>
  </si>
  <si>
    <t>mass concentration, potassium</t>
  </si>
  <si>
    <t>Mass concentration of Potassium.    (CAS 007440-09-7)</t>
  </si>
  <si>
    <t>d26c0a60-86aa-41c8-80ee-3acabc4a5095</t>
  </si>
  <si>
    <t>mass concentration, magnesium</t>
  </si>
  <si>
    <t>Mass concentration of Magnesium.    (CAS 007439-95-4)</t>
  </si>
  <si>
    <t>7b656e1b-bc07-41cd-bad4-a5b51b6287da</t>
  </si>
  <si>
    <t>mass concentration, sodium</t>
  </si>
  <si>
    <t>Mass concentration of Sodium.    (CAS 007440-23-5)</t>
  </si>
  <si>
    <t>id</t>
  </si>
  <si>
    <t>name</t>
  </si>
  <si>
    <t>unitName</t>
  </si>
  <si>
    <t>comment</t>
  </si>
  <si>
    <t>2.2_name</t>
  </si>
  <si>
    <t>33976f6b-2575-4410-8f60-d421bdf3e554</t>
  </si>
  <si>
    <t>mass concentration, barium</t>
  </si>
  <si>
    <t>Mass concentration of Barium.    (CAS 007440-39-3)</t>
  </si>
  <si>
    <t>8d27623b-147c-44e8-93cc-2183eac22991</t>
  </si>
  <si>
    <t>mass concentration, manganese</t>
  </si>
  <si>
    <t>Mass concentration of Manganese.    (CAS 007439-96-5)</t>
  </si>
  <si>
    <t>Amount</t>
  </si>
  <si>
    <t>MISSING__Soluble Kjeldahl SKN as N</t>
  </si>
  <si>
    <t>MISSING__Total Kjeldahl TKN as N</t>
  </si>
  <si>
    <t>MISSING__Particulate P-part. as P</t>
  </si>
  <si>
    <t>MISSING__Total P-tot. as P</t>
  </si>
  <si>
    <t>Dissolved_fraction</t>
  </si>
  <si>
    <t>amount_pedigree1</t>
  </si>
  <si>
    <t>amount_pedigree2</t>
  </si>
  <si>
    <t>amount_pedigree3</t>
  </si>
  <si>
    <t>amount_pedigree4</t>
  </si>
  <si>
    <t>amount_pedigree5</t>
  </si>
  <si>
    <t>amount_variance</t>
  </si>
  <si>
    <t>dissolved_fraction_variance</t>
  </si>
  <si>
    <t>dissolved_fraction_pedigree1</t>
  </si>
  <si>
    <t>dissolved_fraction_pedigree2</t>
  </si>
  <si>
    <t>dissolved_fraction_pedigree3</t>
  </si>
  <si>
    <t>dissolved_fraction_pedigree4</t>
  </si>
  <si>
    <t>dissolved_fraction_pedigree5</t>
  </si>
  <si>
    <t>Particulate_fraction</t>
  </si>
  <si>
    <t>Group</t>
  </si>
  <si>
    <t>Particulate P-part. as P</t>
  </si>
  <si>
    <t>Total P-tot. as P</t>
  </si>
  <si>
    <t>Soluble Kjeldahl SKN as N</t>
  </si>
  <si>
    <t>Total Kjeldahl TKN as N</t>
  </si>
  <si>
    <r>
      <t xml:space="preserve">Chemical Oxygen Demand </t>
    </r>
    <r>
      <rPr>
        <sz val="11"/>
        <rFont val="Arial"/>
        <family val="2"/>
      </rPr>
      <t>COD as O2</t>
    </r>
  </si>
  <si>
    <r>
      <t xml:space="preserve">Biological Oxygen Demand </t>
    </r>
    <r>
      <rPr>
        <sz val="11"/>
        <rFont val="Arial"/>
        <family val="2"/>
      </rPr>
      <t>BOD5 as O2</t>
    </r>
  </si>
  <si>
    <r>
      <t xml:space="preserve">Dissolved organic carbon </t>
    </r>
    <r>
      <rPr>
        <sz val="11"/>
        <rFont val="Arial"/>
        <family val="2"/>
      </rPr>
      <t>DOC as C</t>
    </r>
  </si>
  <si>
    <r>
      <t xml:space="preserve">Total organic carbon </t>
    </r>
    <r>
      <rPr>
        <sz val="11"/>
        <rFont val="Arial"/>
        <family val="2"/>
      </rPr>
      <t>TOC as C</t>
    </r>
  </si>
  <si>
    <r>
      <t xml:space="preserve">Sulfate </t>
    </r>
    <r>
      <rPr>
        <sz val="11"/>
        <rFont val="Arial"/>
        <family val="2"/>
      </rPr>
      <t>SO4 as S</t>
    </r>
  </si>
  <si>
    <r>
      <t xml:space="preserve">Particulate </t>
    </r>
    <r>
      <rPr>
        <sz val="11"/>
        <rFont val="Arial"/>
        <family val="2"/>
      </rPr>
      <t>S part as S</t>
    </r>
  </si>
  <si>
    <r>
      <t>Total</t>
    </r>
    <r>
      <rPr>
        <sz val="11"/>
        <rFont val="Arial"/>
        <family val="2"/>
      </rPr>
      <t xml:space="preserve"> S tot. as S</t>
    </r>
  </si>
  <si>
    <r>
      <t xml:space="preserve">Ammonia </t>
    </r>
    <r>
      <rPr>
        <sz val="11"/>
        <rFont val="Arial"/>
        <family val="2"/>
      </rPr>
      <t>NH4 as N</t>
    </r>
  </si>
  <si>
    <r>
      <t xml:space="preserve">Nitrate </t>
    </r>
    <r>
      <rPr>
        <sz val="11"/>
        <rFont val="Arial"/>
        <family val="2"/>
      </rPr>
      <t>NO3 as N</t>
    </r>
  </si>
  <si>
    <r>
      <t xml:space="preserve">Nitite </t>
    </r>
    <r>
      <rPr>
        <sz val="11"/>
        <rFont val="Arial"/>
        <family val="2"/>
      </rPr>
      <t>NO2 as N</t>
    </r>
  </si>
  <si>
    <r>
      <t>Patriculate</t>
    </r>
    <r>
      <rPr>
        <sz val="11"/>
        <rFont val="Arial"/>
        <family val="2"/>
      </rPr>
      <t xml:space="preserve"> N part. as N</t>
    </r>
  </si>
  <si>
    <r>
      <t xml:space="preserve">Organic soluble </t>
    </r>
    <r>
      <rPr>
        <sz val="11"/>
        <rFont val="Arial"/>
        <family val="2"/>
      </rPr>
      <t>N org. solv. as N</t>
    </r>
  </si>
  <si>
    <r>
      <t xml:space="preserve">Total Nitrogen </t>
    </r>
    <r>
      <rPr>
        <sz val="11"/>
        <rFont val="Arial"/>
        <family val="2"/>
      </rPr>
      <t>N-tot. as N</t>
    </r>
  </si>
  <si>
    <r>
      <t xml:space="preserve">Phosphate </t>
    </r>
    <r>
      <rPr>
        <sz val="11"/>
        <rFont val="Arial"/>
        <family val="2"/>
      </rPr>
      <t>PO4 as P</t>
    </r>
  </si>
  <si>
    <t>mass concentration, soluble Kjeldahl SKN as N</t>
  </si>
  <si>
    <t>mass concentration, total Kjeldahl TKN as N</t>
  </si>
  <si>
    <t>Mass concentration of soluble Kjeldahl SKN as N</t>
  </si>
  <si>
    <t>Mass concentration of total Kjeldahl TKN as N</t>
  </si>
  <si>
    <t>Mass concentration of particulate phosphorus as P</t>
  </si>
  <si>
    <t>mass concentration, particulate phosphorus as P</t>
  </si>
  <si>
    <t>mass concentration, total phosphorus as P</t>
  </si>
  <si>
    <t>Mass concentration of total phosphorus as P</t>
  </si>
  <si>
    <t>Boron</t>
  </si>
  <si>
    <t>Chlorine</t>
  </si>
  <si>
    <t>Bromine</t>
  </si>
  <si>
    <t>Silver, ion</t>
  </si>
  <si>
    <t>Arsenic, ion</t>
  </si>
  <si>
    <t>Barium</t>
  </si>
  <si>
    <t>Cadmium, ion</t>
  </si>
  <si>
    <t>Cobalt</t>
  </si>
  <si>
    <t>Chromium, ion</t>
  </si>
  <si>
    <t>Copper, ion</t>
  </si>
  <si>
    <t>Mercury</t>
  </si>
  <si>
    <t>Manganese</t>
  </si>
  <si>
    <t>Molybdenum</t>
  </si>
  <si>
    <t>Nickel, ion</t>
  </si>
  <si>
    <t>Lead</t>
  </si>
  <si>
    <t>Antimony</t>
  </si>
  <si>
    <t>Selenium</t>
  </si>
  <si>
    <t>Tin, ion</t>
  </si>
  <si>
    <t>Vanadium, ion</t>
  </si>
  <si>
    <t>Zinc, ion</t>
  </si>
  <si>
    <t>Beryllium</t>
  </si>
  <si>
    <t>Scandium</t>
  </si>
  <si>
    <t>Strontium</t>
  </si>
  <si>
    <t>Titanium, ion</t>
  </si>
  <si>
    <t>Thallium</t>
  </si>
  <si>
    <t>Tungsten</t>
  </si>
  <si>
    <t>Silicon</t>
  </si>
  <si>
    <t>Iron, ion</t>
  </si>
  <si>
    <t>Calcium, ion</t>
  </si>
  <si>
    <t>Aluminium</t>
  </si>
  <si>
    <t>Potassium, ion</t>
  </si>
  <si>
    <t>Magnesium</t>
  </si>
  <si>
    <t>Sodium, ion</t>
  </si>
  <si>
    <t>Iodide</t>
  </si>
  <si>
    <t>Verify correct correspondance</t>
  </si>
  <si>
    <t>Fluoride</t>
  </si>
  <si>
    <t>Corresp. direct water emission</t>
  </si>
  <si>
    <t>BOD5, Biological Oxygen Demand</t>
  </si>
  <si>
    <t>COD, Chemical Oxygen Demand</t>
  </si>
  <si>
    <t>DOC, Dissolved Organic Carbon</t>
  </si>
  <si>
    <t>TOC, Total Organic Carbon</t>
  </si>
  <si>
    <t>Sulfate</t>
  </si>
  <si>
    <t>Nitrate</t>
  </si>
  <si>
    <t>Other species for N?</t>
  </si>
  <si>
    <t>Other species for S?</t>
  </si>
  <si>
    <t>Other species for P?</t>
  </si>
  <si>
    <t>Phosphate</t>
  </si>
  <si>
    <t>Correct speciation?</t>
  </si>
  <si>
    <t>Corresp. direct water emission comment for ICRA</t>
  </si>
  <si>
    <t>0f205308-d33a-430b-b3ec-b62bef311f2f</t>
  </si>
  <si>
    <t>mass concentration, particulate phophorus</t>
  </si>
  <si>
    <t>Mass concentration of Particulate Phophorus as P. Note that dissolved and particulate P are optional yet desirable specifications of total phosphorous.</t>
  </si>
  <si>
    <t>8e73d3fb-bb81-4c42-bfa6-8be4ff13125d</t>
  </si>
  <si>
    <t>mass concentration, phophorus</t>
  </si>
  <si>
    <t>Mass concentration of Phophorus as P (Ptot.)</t>
  </si>
  <si>
    <t>mass concentration, dissolved Kjeldahl Nitrogen as N</t>
  </si>
  <si>
    <t>mass concentration, Kjeldahl Nitrogen as N</t>
  </si>
  <si>
    <t>Mass concentration of dissolved Kjeldahl (SKN) as N. Note that dissolved Kjeldahl Nitrogen is an optional yet desirable specification of total Kjeldahl Nitrogen.</t>
  </si>
  <si>
    <t>Mass concentration of total Kjeldahl (TKN) as N. Note that dissolved Kjeldahl Nitrogen is an optional yet desirable specification of total Kjeldahl Nitrogen.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</si>
</sst>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/>
    <xf numFmtId="0" fontId="0" fillId="0" borderId="0" xfId="0" applyFont="1"/>
    <xf numFmtId="0" fontId="3" fillId="0" borderId="0" xfId="0" applyFont="1"/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7"/>
  <sheetViews>
    <sheetView tabSelected="1" topLeftCell="A29" workbookViewId="0">
      <selection activeCell="B55" sqref="B55"/>
    </sheetView>
  </sheetViews>
  <sheetFormatPr defaultRowHeight="14.4" x14ac:dyDescent="0.55000000000000004"/>
  <cols>
    <col min="2" max="2" width="32" customWidth="1"/>
    <col min="4" max="4" width="55.89453125" customWidth="1"/>
    <col min="10" max="11" width="19.41796875" customWidth="1"/>
    <col min="20" max="20" width="10.26171875" customWidth="1"/>
    <col min="21" max="21" width="35.9453125" bestFit="1" customWidth="1"/>
  </cols>
  <sheetData>
    <row r="1" spans="1:24" x14ac:dyDescent="0.55000000000000004">
      <c r="A1" s="1" t="s">
        <v>182</v>
      </c>
      <c r="B1" s="1" t="s">
        <v>183</v>
      </c>
      <c r="C1" s="1" t="s">
        <v>184</v>
      </c>
      <c r="D1" s="1" t="s">
        <v>185</v>
      </c>
      <c r="E1" s="2" t="s">
        <v>193</v>
      </c>
      <c r="F1" s="2" t="s">
        <v>204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198</v>
      </c>
      <c r="M1" s="2" t="s">
        <v>205</v>
      </c>
      <c r="N1" s="2" t="s">
        <v>206</v>
      </c>
      <c r="O1" s="2" t="s">
        <v>207</v>
      </c>
      <c r="P1" s="2" t="s">
        <v>208</v>
      </c>
      <c r="Q1" s="2" t="s">
        <v>209</v>
      </c>
      <c r="R1" s="2" t="s">
        <v>210</v>
      </c>
      <c r="S1" s="2" t="s">
        <v>211</v>
      </c>
      <c r="T1" s="3" t="s">
        <v>212</v>
      </c>
      <c r="U1" s="3" t="s">
        <v>186</v>
      </c>
      <c r="V1" s="6" t="s">
        <v>275</v>
      </c>
      <c r="W1" s="6" t="s">
        <v>287</v>
      </c>
    </row>
    <row r="2" spans="1:24" x14ac:dyDescent="0.55000000000000004">
      <c r="A2" t="s">
        <v>0</v>
      </c>
      <c r="B2" t="s">
        <v>1</v>
      </c>
      <c r="C2" t="s">
        <v>2</v>
      </c>
      <c r="D2" t="s">
        <v>3</v>
      </c>
      <c r="E2">
        <v>0.3367304481602893</v>
      </c>
      <c r="F2">
        <v>4.3975778353143513E-3</v>
      </c>
      <c r="G2">
        <v>2</v>
      </c>
      <c r="H2">
        <v>4</v>
      </c>
      <c r="I2">
        <v>3</v>
      </c>
      <c r="J2">
        <v>5</v>
      </c>
      <c r="K2">
        <v>4</v>
      </c>
      <c r="L2">
        <v>0.31195609793392898</v>
      </c>
      <c r="M2">
        <v>3.3208495378055682E-3</v>
      </c>
      <c r="N2">
        <v>3</v>
      </c>
      <c r="O2">
        <v>5</v>
      </c>
      <c r="P2">
        <v>2</v>
      </c>
      <c r="Q2">
        <v>1</v>
      </c>
      <c r="R2">
        <v>4</v>
      </c>
      <c r="S2">
        <f t="shared" ref="S2:S33" si="0">1-L2</f>
        <v>0.68804390206607102</v>
      </c>
      <c r="T2" t="s">
        <v>37</v>
      </c>
      <c r="U2" s="4" t="s">
        <v>217</v>
      </c>
      <c r="V2" s="5" t="s">
        <v>277</v>
      </c>
    </row>
    <row r="3" spans="1:24" x14ac:dyDescent="0.55000000000000004">
      <c r="A3" t="s">
        <v>4</v>
      </c>
      <c r="B3" t="s">
        <v>5</v>
      </c>
      <c r="C3" t="s">
        <v>2</v>
      </c>
      <c r="D3" t="s">
        <v>6</v>
      </c>
      <c r="E3">
        <v>0.24289533509543038</v>
      </c>
      <c r="F3">
        <v>5.2073785673931736E-3</v>
      </c>
      <c r="G3">
        <v>4</v>
      </c>
      <c r="H3">
        <v>4</v>
      </c>
      <c r="I3">
        <v>1</v>
      </c>
      <c r="J3">
        <v>5</v>
      </c>
      <c r="K3">
        <v>4</v>
      </c>
      <c r="L3">
        <v>0.40016834410910174</v>
      </c>
      <c r="M3">
        <v>8.6421364576386786E-3</v>
      </c>
      <c r="N3">
        <v>1</v>
      </c>
      <c r="O3">
        <v>3</v>
      </c>
      <c r="P3">
        <v>4</v>
      </c>
      <c r="Q3">
        <v>2</v>
      </c>
      <c r="R3">
        <v>5</v>
      </c>
      <c r="S3">
        <f t="shared" si="0"/>
        <v>0.59983165589089826</v>
      </c>
      <c r="T3" t="s">
        <v>37</v>
      </c>
      <c r="U3" s="4" t="s">
        <v>218</v>
      </c>
      <c r="V3" s="5" t="s">
        <v>276</v>
      </c>
    </row>
    <row r="4" spans="1:24" x14ac:dyDescent="0.55000000000000004">
      <c r="A4" t="s">
        <v>7</v>
      </c>
      <c r="B4" t="s">
        <v>8</v>
      </c>
      <c r="C4" t="s">
        <v>2</v>
      </c>
      <c r="D4" t="s">
        <v>9</v>
      </c>
      <c r="E4">
        <v>0.15107453144940808</v>
      </c>
      <c r="F4">
        <v>7.8294317536156677E-4</v>
      </c>
      <c r="G4">
        <v>2</v>
      </c>
      <c r="H4">
        <v>5</v>
      </c>
      <c r="I4">
        <v>5</v>
      </c>
      <c r="J4">
        <v>3</v>
      </c>
      <c r="K4">
        <v>4</v>
      </c>
      <c r="L4">
        <v>0.29208802673960088</v>
      </c>
      <c r="M4">
        <v>5.4993541443330365E-3</v>
      </c>
      <c r="N4">
        <v>2</v>
      </c>
      <c r="O4">
        <v>2</v>
      </c>
      <c r="P4">
        <v>2</v>
      </c>
      <c r="Q4">
        <v>5</v>
      </c>
      <c r="R4">
        <v>3</v>
      </c>
      <c r="S4">
        <f t="shared" si="0"/>
        <v>0.70791197326039912</v>
      </c>
      <c r="T4" t="s">
        <v>37</v>
      </c>
      <c r="U4" s="4" t="s">
        <v>219</v>
      </c>
      <c r="V4" s="5" t="s">
        <v>278</v>
      </c>
    </row>
    <row r="5" spans="1:24" x14ac:dyDescent="0.55000000000000004">
      <c r="A5" t="s">
        <v>10</v>
      </c>
      <c r="B5" t="s">
        <v>11</v>
      </c>
      <c r="C5" t="s">
        <v>2</v>
      </c>
      <c r="D5" t="s">
        <v>12</v>
      </c>
      <c r="E5">
        <v>0.41650470078041757</v>
      </c>
      <c r="F5">
        <v>9.7642840156659354E-3</v>
      </c>
      <c r="G5">
        <v>3</v>
      </c>
      <c r="H5">
        <v>2</v>
      </c>
      <c r="I5">
        <v>2</v>
      </c>
      <c r="J5">
        <v>4</v>
      </c>
      <c r="K5">
        <v>5</v>
      </c>
      <c r="L5">
        <v>0.8082773279894957</v>
      </c>
      <c r="M5">
        <v>9.312599536146637E-3</v>
      </c>
      <c r="N5">
        <v>3</v>
      </c>
      <c r="O5">
        <v>1</v>
      </c>
      <c r="P5">
        <v>1</v>
      </c>
      <c r="Q5">
        <v>1</v>
      </c>
      <c r="R5">
        <v>4</v>
      </c>
      <c r="S5">
        <f t="shared" si="0"/>
        <v>0.1917226720105043</v>
      </c>
      <c r="T5" t="s">
        <v>37</v>
      </c>
      <c r="U5" s="4" t="s">
        <v>220</v>
      </c>
      <c r="V5" s="5" t="s">
        <v>279</v>
      </c>
    </row>
    <row r="6" spans="1:24" x14ac:dyDescent="0.55000000000000004">
      <c r="A6" t="s">
        <v>22</v>
      </c>
      <c r="B6" t="s">
        <v>23</v>
      </c>
      <c r="C6" t="s">
        <v>2</v>
      </c>
      <c r="D6" t="s">
        <v>24</v>
      </c>
      <c r="E6">
        <v>0.42550647441068445</v>
      </c>
      <c r="F6">
        <v>3.4568052895068424E-3</v>
      </c>
      <c r="G6">
        <v>4</v>
      </c>
      <c r="H6">
        <v>1</v>
      </c>
      <c r="I6">
        <v>2</v>
      </c>
      <c r="J6">
        <v>3</v>
      </c>
      <c r="K6">
        <v>5</v>
      </c>
      <c r="L6">
        <v>0.28520828892619887</v>
      </c>
      <c r="M6">
        <v>3.8567117956278176E-3</v>
      </c>
      <c r="N6">
        <v>3</v>
      </c>
      <c r="O6">
        <v>3</v>
      </c>
      <c r="P6">
        <v>1</v>
      </c>
      <c r="Q6">
        <v>1</v>
      </c>
      <c r="R6">
        <v>3</v>
      </c>
      <c r="S6">
        <f t="shared" si="0"/>
        <v>0.71479171107380113</v>
      </c>
      <c r="T6" t="s">
        <v>39</v>
      </c>
      <c r="U6" s="4" t="s">
        <v>224</v>
      </c>
      <c r="V6" s="5" t="s">
        <v>281</v>
      </c>
      <c r="W6" s="4" t="s">
        <v>282</v>
      </c>
    </row>
    <row r="7" spans="1:24" x14ac:dyDescent="0.55000000000000004">
      <c r="A7" t="s">
        <v>25</v>
      </c>
      <c r="B7" t="s">
        <v>26</v>
      </c>
      <c r="C7" t="s">
        <v>2</v>
      </c>
      <c r="D7" t="s">
        <v>27</v>
      </c>
      <c r="E7">
        <v>0.79969769908123045</v>
      </c>
      <c r="F7">
        <v>9.1683120551579751E-3</v>
      </c>
      <c r="G7">
        <v>3</v>
      </c>
      <c r="H7">
        <v>3</v>
      </c>
      <c r="I7">
        <v>1</v>
      </c>
      <c r="J7">
        <v>1</v>
      </c>
      <c r="K7">
        <v>5</v>
      </c>
      <c r="L7">
        <v>9.5787137697245006E-2</v>
      </c>
      <c r="M7">
        <v>5.0513880718385581E-4</v>
      </c>
      <c r="N7">
        <v>4</v>
      </c>
      <c r="O7">
        <v>4</v>
      </c>
      <c r="P7">
        <v>4</v>
      </c>
      <c r="Q7">
        <v>1</v>
      </c>
      <c r="R7">
        <v>5</v>
      </c>
      <c r="S7">
        <f t="shared" si="0"/>
        <v>0.90421286230275499</v>
      </c>
      <c r="T7" t="s">
        <v>39</v>
      </c>
      <c r="U7" s="4" t="s">
        <v>225</v>
      </c>
      <c r="V7" s="5" t="s">
        <v>281</v>
      </c>
      <c r="W7" s="4" t="s">
        <v>282</v>
      </c>
    </row>
    <row r="8" spans="1:24" x14ac:dyDescent="0.55000000000000004">
      <c r="A8" t="s">
        <v>28</v>
      </c>
      <c r="B8" t="s">
        <v>29</v>
      </c>
      <c r="C8" t="s">
        <v>2</v>
      </c>
      <c r="D8" t="s">
        <v>30</v>
      </c>
      <c r="E8">
        <v>0.22176974060395183</v>
      </c>
      <c r="F8">
        <v>9.6989222090975487E-3</v>
      </c>
      <c r="G8">
        <v>5</v>
      </c>
      <c r="H8">
        <v>1</v>
      </c>
      <c r="I8">
        <v>1</v>
      </c>
      <c r="J8">
        <v>4</v>
      </c>
      <c r="K8">
        <v>1</v>
      </c>
      <c r="L8">
        <v>0.38204451327231603</v>
      </c>
      <c r="M8">
        <v>3.0719995788547694E-3</v>
      </c>
      <c r="N8">
        <v>1</v>
      </c>
      <c r="O8">
        <v>5</v>
      </c>
      <c r="P8">
        <v>1</v>
      </c>
      <c r="Q8">
        <v>2</v>
      </c>
      <c r="R8">
        <v>2</v>
      </c>
      <c r="S8">
        <f t="shared" si="0"/>
        <v>0.61795548672768397</v>
      </c>
      <c r="T8" t="s">
        <v>39</v>
      </c>
      <c r="U8" s="4" t="s">
        <v>226</v>
      </c>
      <c r="V8" s="5" t="s">
        <v>281</v>
      </c>
      <c r="W8" s="4" t="s">
        <v>282</v>
      </c>
    </row>
    <row r="9" spans="1:24" x14ac:dyDescent="0.55000000000000004">
      <c r="A9" t="s">
        <v>31</v>
      </c>
      <c r="B9" t="s">
        <v>32</v>
      </c>
      <c r="C9" t="s">
        <v>2</v>
      </c>
      <c r="D9" t="s">
        <v>33</v>
      </c>
      <c r="E9">
        <v>0.2065604755097209</v>
      </c>
      <c r="F9">
        <v>7.2839130964181733E-3</v>
      </c>
      <c r="G9">
        <v>1</v>
      </c>
      <c r="H9">
        <v>5</v>
      </c>
      <c r="I9">
        <v>5</v>
      </c>
      <c r="J9">
        <v>4</v>
      </c>
      <c r="K9">
        <v>1</v>
      </c>
      <c r="L9">
        <v>0.14441560193760894</v>
      </c>
      <c r="M9">
        <v>5.7842638809630174E-3</v>
      </c>
      <c r="N9">
        <v>1</v>
      </c>
      <c r="O9">
        <v>5</v>
      </c>
      <c r="P9">
        <v>3</v>
      </c>
      <c r="Q9">
        <v>1</v>
      </c>
      <c r="R9">
        <v>5</v>
      </c>
      <c r="S9">
        <f t="shared" si="0"/>
        <v>0.85558439806239106</v>
      </c>
      <c r="T9" t="s">
        <v>39</v>
      </c>
      <c r="U9" s="4" t="s">
        <v>227</v>
      </c>
      <c r="V9" s="5" t="s">
        <v>281</v>
      </c>
      <c r="W9" s="4" t="s">
        <v>282</v>
      </c>
    </row>
    <row r="10" spans="1:24" x14ac:dyDescent="0.55000000000000004">
      <c r="A10" t="s">
        <v>34</v>
      </c>
      <c r="B10" t="s">
        <v>35</v>
      </c>
      <c r="C10" t="s">
        <v>2</v>
      </c>
      <c r="D10" t="s">
        <v>36</v>
      </c>
      <c r="E10">
        <v>0.92122563737114205</v>
      </c>
      <c r="F10">
        <v>9.5041164852609147E-3</v>
      </c>
      <c r="G10">
        <v>1</v>
      </c>
      <c r="H10">
        <v>2</v>
      </c>
      <c r="I10">
        <v>3</v>
      </c>
      <c r="J10">
        <v>2</v>
      </c>
      <c r="K10">
        <v>1</v>
      </c>
      <c r="L10">
        <v>0.45241409962525303</v>
      </c>
      <c r="M10">
        <v>7.3169595922510924E-3</v>
      </c>
      <c r="N10">
        <v>2</v>
      </c>
      <c r="O10">
        <v>1</v>
      </c>
      <c r="P10">
        <v>2</v>
      </c>
      <c r="Q10">
        <v>1</v>
      </c>
      <c r="R10">
        <v>5</v>
      </c>
      <c r="S10">
        <f t="shared" si="0"/>
        <v>0.54758590037474697</v>
      </c>
      <c r="T10" t="s">
        <v>39</v>
      </c>
      <c r="U10" s="4" t="s">
        <v>228</v>
      </c>
      <c r="V10" s="5" t="s">
        <v>281</v>
      </c>
      <c r="W10" s="4" t="s">
        <v>282</v>
      </c>
    </row>
    <row r="11" spans="1:24" x14ac:dyDescent="0.55000000000000004">
      <c r="A11" t="s">
        <v>77</v>
      </c>
      <c r="B11" t="s">
        <v>78</v>
      </c>
      <c r="C11" t="s">
        <v>2</v>
      </c>
      <c r="D11" t="s">
        <v>79</v>
      </c>
      <c r="E11">
        <v>0.39938535086877658</v>
      </c>
      <c r="F11">
        <v>4.0130399916013925E-3</v>
      </c>
      <c r="G11">
        <v>1</v>
      </c>
      <c r="H11">
        <v>2</v>
      </c>
      <c r="I11">
        <v>1</v>
      </c>
      <c r="J11">
        <v>3</v>
      </c>
      <c r="K11">
        <v>1</v>
      </c>
      <c r="L11">
        <v>7.1505433128033591E-2</v>
      </c>
      <c r="M11">
        <v>8.4855009457408676E-3</v>
      </c>
      <c r="N11">
        <v>2</v>
      </c>
      <c r="O11">
        <v>1</v>
      </c>
      <c r="P11">
        <v>2</v>
      </c>
      <c r="Q11">
        <v>3</v>
      </c>
      <c r="R11">
        <v>1</v>
      </c>
      <c r="S11">
        <f t="shared" si="0"/>
        <v>0.92849456687196641</v>
      </c>
      <c r="T11" t="s">
        <v>39</v>
      </c>
      <c r="U11" s="4" t="s">
        <v>229</v>
      </c>
      <c r="V11" s="5" t="s">
        <v>281</v>
      </c>
      <c r="W11" s="4" t="s">
        <v>282</v>
      </c>
    </row>
    <row r="12" spans="1:24" x14ac:dyDescent="0.55000000000000004">
      <c r="A12" t="s">
        <v>80</v>
      </c>
      <c r="B12" t="s">
        <v>81</v>
      </c>
      <c r="C12" t="s">
        <v>2</v>
      </c>
      <c r="D12" t="s">
        <v>82</v>
      </c>
      <c r="E12">
        <v>0.50129430578818579</v>
      </c>
      <c r="F12">
        <v>5.0846035180278559E-3</v>
      </c>
      <c r="G12">
        <v>1</v>
      </c>
      <c r="H12">
        <v>2</v>
      </c>
      <c r="I12">
        <v>4</v>
      </c>
      <c r="J12">
        <v>5</v>
      </c>
      <c r="K12">
        <v>2</v>
      </c>
      <c r="L12">
        <v>0.11176956736682919</v>
      </c>
      <c r="M12">
        <v>7.9284268014058936E-3</v>
      </c>
      <c r="N12">
        <v>1</v>
      </c>
      <c r="O12">
        <v>5</v>
      </c>
      <c r="P12">
        <v>2</v>
      </c>
      <c r="Q12">
        <v>5</v>
      </c>
      <c r="R12">
        <v>5</v>
      </c>
      <c r="S12">
        <f t="shared" si="0"/>
        <v>0.88823043263317081</v>
      </c>
      <c r="T12" t="s">
        <v>40</v>
      </c>
      <c r="U12" s="4" t="s">
        <v>230</v>
      </c>
      <c r="V12" s="5" t="s">
        <v>285</v>
      </c>
      <c r="W12" s="4" t="s">
        <v>284</v>
      </c>
    </row>
    <row r="13" spans="1:24" x14ac:dyDescent="0.55000000000000004">
      <c r="A13" t="s">
        <v>13</v>
      </c>
      <c r="B13" t="s">
        <v>14</v>
      </c>
      <c r="C13" t="s">
        <v>2</v>
      </c>
      <c r="D13" t="s">
        <v>15</v>
      </c>
      <c r="E13">
        <v>0.77085844381587831</v>
      </c>
      <c r="F13">
        <v>9.7830633117375644E-3</v>
      </c>
      <c r="G13">
        <v>5</v>
      </c>
      <c r="H13">
        <v>2</v>
      </c>
      <c r="I13">
        <v>3</v>
      </c>
      <c r="J13">
        <v>1</v>
      </c>
      <c r="K13">
        <v>1</v>
      </c>
      <c r="L13">
        <v>3.2168844573763344E-3</v>
      </c>
      <c r="M13">
        <v>6.5998349125872548E-4</v>
      </c>
      <c r="N13">
        <v>2</v>
      </c>
      <c r="O13">
        <v>1</v>
      </c>
      <c r="P13">
        <v>3</v>
      </c>
      <c r="Q13">
        <v>4</v>
      </c>
      <c r="R13">
        <v>2</v>
      </c>
      <c r="S13">
        <f t="shared" si="0"/>
        <v>0.99678311554262367</v>
      </c>
      <c r="T13" t="s">
        <v>38</v>
      </c>
      <c r="U13" s="4" t="s">
        <v>221</v>
      </c>
      <c r="V13" s="5" t="s">
        <v>280</v>
      </c>
      <c r="W13" s="4" t="s">
        <v>283</v>
      </c>
    </row>
    <row r="14" spans="1:24" x14ac:dyDescent="0.55000000000000004">
      <c r="A14" t="s">
        <v>16</v>
      </c>
      <c r="B14" t="s">
        <v>17</v>
      </c>
      <c r="C14" t="s">
        <v>2</v>
      </c>
      <c r="D14" t="s">
        <v>18</v>
      </c>
      <c r="E14">
        <v>0.36046052693160757</v>
      </c>
      <c r="F14">
        <v>1.0109277235275792E-3</v>
      </c>
      <c r="G14">
        <v>5</v>
      </c>
      <c r="H14">
        <v>3</v>
      </c>
      <c r="I14">
        <v>3</v>
      </c>
      <c r="J14">
        <v>1</v>
      </c>
      <c r="K14">
        <v>1</v>
      </c>
      <c r="L14">
        <v>0.16529826781553958</v>
      </c>
      <c r="M14">
        <v>7.6238046496335176E-3</v>
      </c>
      <c r="N14">
        <v>3</v>
      </c>
      <c r="O14">
        <v>2</v>
      </c>
      <c r="P14">
        <v>4</v>
      </c>
      <c r="Q14">
        <v>3</v>
      </c>
      <c r="R14">
        <v>3</v>
      </c>
      <c r="S14">
        <f t="shared" si="0"/>
        <v>0.83470173218446042</v>
      </c>
      <c r="T14" t="s">
        <v>38</v>
      </c>
      <c r="U14" s="4" t="s">
        <v>222</v>
      </c>
      <c r="V14" s="5" t="s">
        <v>280</v>
      </c>
      <c r="W14" s="4" t="s">
        <v>283</v>
      </c>
    </row>
    <row r="15" spans="1:24" x14ac:dyDescent="0.55000000000000004">
      <c r="A15" t="s">
        <v>19</v>
      </c>
      <c r="B15" t="s">
        <v>20</v>
      </c>
      <c r="C15" t="s">
        <v>2</v>
      </c>
      <c r="D15" t="s">
        <v>21</v>
      </c>
      <c r="E15">
        <v>0.22734744763556625</v>
      </c>
      <c r="F15">
        <v>9.473585972085077E-3</v>
      </c>
      <c r="G15">
        <v>3</v>
      </c>
      <c r="H15">
        <v>4</v>
      </c>
      <c r="I15">
        <v>2</v>
      </c>
      <c r="J15">
        <v>1</v>
      </c>
      <c r="K15">
        <v>3</v>
      </c>
      <c r="L15">
        <v>0.56449020771215586</v>
      </c>
      <c r="M15">
        <v>4.650071013409177E-3</v>
      </c>
      <c r="N15">
        <v>2</v>
      </c>
      <c r="O15">
        <v>5</v>
      </c>
      <c r="P15">
        <v>1</v>
      </c>
      <c r="Q15">
        <v>4</v>
      </c>
      <c r="R15">
        <v>5</v>
      </c>
      <c r="S15">
        <f t="shared" si="0"/>
        <v>0.43550979228784414</v>
      </c>
      <c r="T15" t="s">
        <v>38</v>
      </c>
      <c r="U15" s="4" t="s">
        <v>223</v>
      </c>
      <c r="V15" s="5" t="s">
        <v>280</v>
      </c>
      <c r="W15" s="4" t="s">
        <v>283</v>
      </c>
    </row>
    <row r="16" spans="1:24" x14ac:dyDescent="0.55000000000000004">
      <c r="A16" t="s">
        <v>83</v>
      </c>
      <c r="B16" t="s">
        <v>84</v>
      </c>
      <c r="C16" t="s">
        <v>2</v>
      </c>
      <c r="D16" t="s">
        <v>85</v>
      </c>
      <c r="E16">
        <v>0.14992572880407762</v>
      </c>
      <c r="F16">
        <v>3.6315443182928899E-4</v>
      </c>
      <c r="G16">
        <v>5</v>
      </c>
      <c r="H16">
        <v>4</v>
      </c>
      <c r="I16">
        <v>4</v>
      </c>
      <c r="J16">
        <v>3</v>
      </c>
      <c r="K16">
        <v>1</v>
      </c>
      <c r="L16">
        <v>0.20661649656255154</v>
      </c>
      <c r="M16">
        <v>3.9192967665427677E-3</v>
      </c>
      <c r="N16">
        <v>1</v>
      </c>
      <c r="O16">
        <v>2</v>
      </c>
      <c r="P16">
        <v>2</v>
      </c>
      <c r="Q16">
        <v>2</v>
      </c>
      <c r="R16">
        <v>5</v>
      </c>
      <c r="S16">
        <f t="shared" si="0"/>
        <v>0.79338350343744846</v>
      </c>
      <c r="T16" t="s">
        <v>41</v>
      </c>
      <c r="U16" s="4" t="s">
        <v>42</v>
      </c>
      <c r="V16" s="5" t="s">
        <v>239</v>
      </c>
      <c r="W16" s="5"/>
      <c r="X16" s="5"/>
    </row>
    <row r="17" spans="1:25" x14ac:dyDescent="0.55000000000000004">
      <c r="A17" t="s">
        <v>86</v>
      </c>
      <c r="B17" t="s">
        <v>87</v>
      </c>
      <c r="C17" t="s">
        <v>2</v>
      </c>
      <c r="D17" t="s">
        <v>88</v>
      </c>
      <c r="E17">
        <v>0.71811957798677994</v>
      </c>
      <c r="F17">
        <v>5.546985318859751E-3</v>
      </c>
      <c r="G17">
        <v>4</v>
      </c>
      <c r="H17">
        <v>5</v>
      </c>
      <c r="I17">
        <v>2</v>
      </c>
      <c r="J17">
        <v>2</v>
      </c>
      <c r="K17">
        <v>5</v>
      </c>
      <c r="L17">
        <v>0.16696836672618931</v>
      </c>
      <c r="M17">
        <v>1.6492923204098676E-4</v>
      </c>
      <c r="N17">
        <v>3</v>
      </c>
      <c r="O17">
        <v>1</v>
      </c>
      <c r="P17">
        <v>2</v>
      </c>
      <c r="Q17">
        <v>5</v>
      </c>
      <c r="R17">
        <v>1</v>
      </c>
      <c r="S17">
        <f t="shared" si="0"/>
        <v>0.83303163327381069</v>
      </c>
      <c r="T17" t="s">
        <v>41</v>
      </c>
      <c r="U17" s="4" t="s">
        <v>43</v>
      </c>
      <c r="V17" s="5" t="s">
        <v>240</v>
      </c>
      <c r="W17" s="5"/>
      <c r="X17" s="5"/>
    </row>
    <row r="18" spans="1:25" x14ac:dyDescent="0.55000000000000004">
      <c r="A18" t="s">
        <v>89</v>
      </c>
      <c r="B18" t="s">
        <v>90</v>
      </c>
      <c r="C18" t="s">
        <v>2</v>
      </c>
      <c r="D18" t="s">
        <v>91</v>
      </c>
      <c r="E18">
        <v>0.91674522183750529</v>
      </c>
      <c r="F18">
        <v>9.967062500285406E-4</v>
      </c>
      <c r="G18">
        <v>2</v>
      </c>
      <c r="H18">
        <v>1</v>
      </c>
      <c r="I18">
        <v>3</v>
      </c>
      <c r="J18">
        <v>3</v>
      </c>
      <c r="K18">
        <v>4</v>
      </c>
      <c r="L18">
        <v>8.7245790600218864E-2</v>
      </c>
      <c r="M18">
        <v>9.3089183685378073E-3</v>
      </c>
      <c r="N18">
        <v>5</v>
      </c>
      <c r="O18">
        <v>5</v>
      </c>
      <c r="P18">
        <v>2</v>
      </c>
      <c r="Q18">
        <v>5</v>
      </c>
      <c r="R18">
        <v>2</v>
      </c>
      <c r="S18">
        <f t="shared" si="0"/>
        <v>0.91275420939978114</v>
      </c>
      <c r="T18" t="s">
        <v>41</v>
      </c>
      <c r="U18" s="4" t="s">
        <v>44</v>
      </c>
      <c r="V18" s="5" t="s">
        <v>241</v>
      </c>
      <c r="W18" s="5"/>
      <c r="X18" s="5"/>
    </row>
    <row r="19" spans="1:25" x14ac:dyDescent="0.55000000000000004">
      <c r="A19" t="s">
        <v>92</v>
      </c>
      <c r="B19" t="s">
        <v>93</v>
      </c>
      <c r="C19" t="s">
        <v>2</v>
      </c>
      <c r="D19" t="s">
        <v>94</v>
      </c>
      <c r="E19">
        <v>0.65634046220962849</v>
      </c>
      <c r="F19">
        <v>2.8862714324429106E-3</v>
      </c>
      <c r="G19">
        <v>4</v>
      </c>
      <c r="H19">
        <v>2</v>
      </c>
      <c r="I19">
        <v>3</v>
      </c>
      <c r="J19">
        <v>4</v>
      </c>
      <c r="K19">
        <v>1</v>
      </c>
      <c r="L19">
        <v>0.94294509277455985</v>
      </c>
      <c r="M19">
        <v>7.9225170731745068E-3</v>
      </c>
      <c r="N19">
        <v>2</v>
      </c>
      <c r="O19">
        <v>3</v>
      </c>
      <c r="P19">
        <v>3</v>
      </c>
      <c r="Q19">
        <v>1</v>
      </c>
      <c r="R19">
        <v>2</v>
      </c>
      <c r="S19">
        <f t="shared" si="0"/>
        <v>5.7054907225440155E-2</v>
      </c>
      <c r="T19" t="s">
        <v>41</v>
      </c>
      <c r="U19" s="4" t="s">
        <v>45</v>
      </c>
      <c r="V19" s="5" t="s">
        <v>274</v>
      </c>
      <c r="W19" s="5" t="s">
        <v>273</v>
      </c>
      <c r="X19" s="5"/>
      <c r="Y19" s="5"/>
    </row>
    <row r="20" spans="1:25" x14ac:dyDescent="0.55000000000000004">
      <c r="A20" t="s">
        <v>95</v>
      </c>
      <c r="B20" t="s">
        <v>96</v>
      </c>
      <c r="C20" t="s">
        <v>2</v>
      </c>
      <c r="D20" t="s">
        <v>97</v>
      </c>
      <c r="E20">
        <v>0.91324211207208172</v>
      </c>
      <c r="F20">
        <v>1.7773971687161817E-3</v>
      </c>
      <c r="G20">
        <v>3</v>
      </c>
      <c r="H20">
        <v>2</v>
      </c>
      <c r="I20">
        <v>3</v>
      </c>
      <c r="J20">
        <v>3</v>
      </c>
      <c r="K20">
        <v>1</v>
      </c>
      <c r="L20">
        <v>0.73076337652464374</v>
      </c>
      <c r="M20">
        <v>9.7365293597982301E-3</v>
      </c>
      <c r="N20">
        <v>1</v>
      </c>
      <c r="O20">
        <v>4</v>
      </c>
      <c r="P20">
        <v>5</v>
      </c>
      <c r="Q20">
        <v>5</v>
      </c>
      <c r="R20">
        <v>4</v>
      </c>
      <c r="S20">
        <f t="shared" si="0"/>
        <v>0.26923662347535626</v>
      </c>
      <c r="T20" t="s">
        <v>41</v>
      </c>
      <c r="U20" s="4" t="s">
        <v>46</v>
      </c>
      <c r="V20" s="5" t="s">
        <v>272</v>
      </c>
      <c r="W20" s="5" t="s">
        <v>273</v>
      </c>
      <c r="X20" s="5"/>
      <c r="Y20" s="5"/>
    </row>
    <row r="21" spans="1:25" x14ac:dyDescent="0.55000000000000004">
      <c r="A21" t="s">
        <v>98</v>
      </c>
      <c r="B21" t="s">
        <v>99</v>
      </c>
      <c r="C21" t="s">
        <v>2</v>
      </c>
      <c r="D21" t="s">
        <v>100</v>
      </c>
      <c r="E21">
        <v>0.57950875055204765</v>
      </c>
      <c r="F21">
        <v>8.7321520055368869E-3</v>
      </c>
      <c r="G21">
        <v>3</v>
      </c>
      <c r="H21">
        <v>5</v>
      </c>
      <c r="I21">
        <v>3</v>
      </c>
      <c r="J21">
        <v>4</v>
      </c>
      <c r="K21">
        <v>2</v>
      </c>
      <c r="L21">
        <v>0.18071344175241977</v>
      </c>
      <c r="M21">
        <v>6.6183523665816367E-3</v>
      </c>
      <c r="N21">
        <v>1</v>
      </c>
      <c r="O21">
        <v>4</v>
      </c>
      <c r="P21">
        <v>2</v>
      </c>
      <c r="Q21">
        <v>5</v>
      </c>
      <c r="R21">
        <v>2</v>
      </c>
      <c r="S21">
        <f t="shared" si="0"/>
        <v>0.81928655824758023</v>
      </c>
      <c r="T21" t="s">
        <v>41</v>
      </c>
      <c r="U21" s="4" t="s">
        <v>47</v>
      </c>
      <c r="V21" s="5" t="s">
        <v>242</v>
      </c>
      <c r="W21" s="5"/>
      <c r="X21" s="5"/>
    </row>
    <row r="22" spans="1:25" x14ac:dyDescent="0.55000000000000004">
      <c r="A22" t="s">
        <v>101</v>
      </c>
      <c r="B22" t="s">
        <v>102</v>
      </c>
      <c r="C22" t="s">
        <v>2</v>
      </c>
      <c r="D22" t="s">
        <v>103</v>
      </c>
      <c r="E22">
        <v>0.47059765990752489</v>
      </c>
      <c r="F22">
        <v>1.8672617077440123E-3</v>
      </c>
      <c r="G22">
        <v>1</v>
      </c>
      <c r="H22">
        <v>4</v>
      </c>
      <c r="I22">
        <v>2</v>
      </c>
      <c r="J22">
        <v>3</v>
      </c>
      <c r="K22">
        <v>3</v>
      </c>
      <c r="L22">
        <v>0.16136120632001982</v>
      </c>
      <c r="M22">
        <v>1.4850673753166543E-3</v>
      </c>
      <c r="N22">
        <v>2</v>
      </c>
      <c r="O22">
        <v>2</v>
      </c>
      <c r="P22">
        <v>2</v>
      </c>
      <c r="Q22">
        <v>3</v>
      </c>
      <c r="R22">
        <v>5</v>
      </c>
      <c r="S22">
        <f t="shared" si="0"/>
        <v>0.83863879367998018</v>
      </c>
      <c r="T22" t="s">
        <v>41</v>
      </c>
      <c r="U22" s="4" t="s">
        <v>48</v>
      </c>
      <c r="V22" s="5" t="s">
        <v>243</v>
      </c>
      <c r="W22" s="5"/>
      <c r="X22" s="5"/>
    </row>
    <row r="23" spans="1:25" x14ac:dyDescent="0.55000000000000004">
      <c r="A23" t="s">
        <v>187</v>
      </c>
      <c r="B23" t="s">
        <v>188</v>
      </c>
      <c r="C23" t="s">
        <v>2</v>
      </c>
      <c r="D23" t="s">
        <v>189</v>
      </c>
      <c r="E23">
        <v>0.905023415185368</v>
      </c>
      <c r="F23">
        <v>2.1864602528447121E-3</v>
      </c>
      <c r="G23">
        <v>1</v>
      </c>
      <c r="H23">
        <v>2</v>
      </c>
      <c r="I23">
        <v>5</v>
      </c>
      <c r="J23">
        <v>4</v>
      </c>
      <c r="K23">
        <v>1</v>
      </c>
      <c r="L23">
        <v>1.4716555812877452E-2</v>
      </c>
      <c r="M23">
        <v>6.9244866663559432E-3</v>
      </c>
      <c r="N23">
        <v>3</v>
      </c>
      <c r="O23">
        <v>3</v>
      </c>
      <c r="P23">
        <v>3</v>
      </c>
      <c r="Q23">
        <v>3</v>
      </c>
      <c r="R23">
        <v>5</v>
      </c>
      <c r="S23">
        <f t="shared" si="0"/>
        <v>0.98528344418712255</v>
      </c>
      <c r="T23" t="s">
        <v>41</v>
      </c>
      <c r="U23" s="4" t="s">
        <v>49</v>
      </c>
      <c r="V23" s="5" t="s">
        <v>244</v>
      </c>
      <c r="W23" s="5"/>
      <c r="X23" s="5"/>
    </row>
    <row r="24" spans="1:25" x14ac:dyDescent="0.55000000000000004">
      <c r="A24" t="s">
        <v>104</v>
      </c>
      <c r="B24" t="s">
        <v>105</v>
      </c>
      <c r="C24" t="s">
        <v>2</v>
      </c>
      <c r="D24" t="s">
        <v>106</v>
      </c>
      <c r="E24">
        <v>6.5817403733795743E-2</v>
      </c>
      <c r="F24">
        <v>5.3286395595498956E-3</v>
      </c>
      <c r="G24">
        <v>1</v>
      </c>
      <c r="H24">
        <v>2</v>
      </c>
      <c r="I24">
        <v>3</v>
      </c>
      <c r="J24">
        <v>5</v>
      </c>
      <c r="K24">
        <v>1</v>
      </c>
      <c r="L24">
        <v>0.52732388723079304</v>
      </c>
      <c r="M24">
        <v>5.7724219973041445E-3</v>
      </c>
      <c r="N24">
        <v>3</v>
      </c>
      <c r="O24">
        <v>1</v>
      </c>
      <c r="P24">
        <v>3</v>
      </c>
      <c r="Q24">
        <v>2</v>
      </c>
      <c r="R24">
        <v>2</v>
      </c>
      <c r="S24">
        <f t="shared" si="0"/>
        <v>0.47267611276920696</v>
      </c>
      <c r="T24" t="s">
        <v>41</v>
      </c>
      <c r="U24" s="4" t="s">
        <v>50</v>
      </c>
      <c r="V24" s="5" t="s">
        <v>245</v>
      </c>
      <c r="W24" s="5"/>
      <c r="X24" s="5"/>
    </row>
    <row r="25" spans="1:25" x14ac:dyDescent="0.55000000000000004">
      <c r="A25" t="s">
        <v>107</v>
      </c>
      <c r="B25" t="s">
        <v>108</v>
      </c>
      <c r="C25" t="s">
        <v>2</v>
      </c>
      <c r="D25" t="s">
        <v>109</v>
      </c>
      <c r="E25">
        <v>0.64664907599350685</v>
      </c>
      <c r="F25">
        <v>3.7277241521884207E-3</v>
      </c>
      <c r="G25">
        <v>1</v>
      </c>
      <c r="H25">
        <v>4</v>
      </c>
      <c r="I25">
        <v>5</v>
      </c>
      <c r="J25">
        <v>1</v>
      </c>
      <c r="K25">
        <v>1</v>
      </c>
      <c r="L25">
        <v>0.70412705790113983</v>
      </c>
      <c r="M25">
        <v>3.7213526362833151E-4</v>
      </c>
      <c r="N25">
        <v>1</v>
      </c>
      <c r="O25">
        <v>1</v>
      </c>
      <c r="P25">
        <v>2</v>
      </c>
      <c r="Q25">
        <v>2</v>
      </c>
      <c r="R25">
        <v>3</v>
      </c>
      <c r="S25">
        <f t="shared" si="0"/>
        <v>0.29587294209886017</v>
      </c>
      <c r="T25" t="s">
        <v>41</v>
      </c>
      <c r="U25" s="4" t="s">
        <v>51</v>
      </c>
      <c r="V25" s="5" t="s">
        <v>246</v>
      </c>
      <c r="W25" s="5"/>
      <c r="X25" s="5"/>
    </row>
    <row r="26" spans="1:25" x14ac:dyDescent="0.55000000000000004">
      <c r="A26" t="s">
        <v>110</v>
      </c>
      <c r="B26" t="s">
        <v>111</v>
      </c>
      <c r="C26" t="s">
        <v>2</v>
      </c>
      <c r="D26" t="s">
        <v>112</v>
      </c>
      <c r="E26">
        <v>0.20182489068159548</v>
      </c>
      <c r="F26">
        <v>3.4366407183185365E-3</v>
      </c>
      <c r="G26">
        <v>1</v>
      </c>
      <c r="H26">
        <v>2</v>
      </c>
      <c r="I26">
        <v>2</v>
      </c>
      <c r="J26">
        <v>1</v>
      </c>
      <c r="K26">
        <v>2</v>
      </c>
      <c r="L26">
        <v>0.8312218206934886</v>
      </c>
      <c r="M26">
        <v>4.8561492972394281E-3</v>
      </c>
      <c r="N26">
        <v>1</v>
      </c>
      <c r="O26">
        <v>3</v>
      </c>
      <c r="P26">
        <v>4</v>
      </c>
      <c r="Q26">
        <v>3</v>
      </c>
      <c r="R26">
        <v>3</v>
      </c>
      <c r="S26">
        <f t="shared" si="0"/>
        <v>0.1687781793065114</v>
      </c>
      <c r="T26" t="s">
        <v>41</v>
      </c>
      <c r="U26" s="4" t="s">
        <v>52</v>
      </c>
      <c r="V26" s="5" t="s">
        <v>247</v>
      </c>
      <c r="W26" s="5" t="s">
        <v>286</v>
      </c>
      <c r="X26" s="5"/>
    </row>
    <row r="27" spans="1:25" x14ac:dyDescent="0.55000000000000004">
      <c r="A27" t="s">
        <v>113</v>
      </c>
      <c r="B27" t="s">
        <v>114</v>
      </c>
      <c r="C27" t="s">
        <v>2</v>
      </c>
      <c r="D27" t="s">
        <v>115</v>
      </c>
      <c r="E27">
        <v>0.3947580886437968</v>
      </c>
      <c r="F27">
        <v>6.613118034249587E-3</v>
      </c>
      <c r="G27">
        <v>4</v>
      </c>
      <c r="H27">
        <v>5</v>
      </c>
      <c r="I27">
        <v>4</v>
      </c>
      <c r="J27">
        <v>3</v>
      </c>
      <c r="K27">
        <v>3</v>
      </c>
      <c r="L27">
        <v>0.66283690142599017</v>
      </c>
      <c r="M27">
        <v>1.9031803864066022E-3</v>
      </c>
      <c r="N27">
        <v>5</v>
      </c>
      <c r="O27">
        <v>5</v>
      </c>
      <c r="P27">
        <v>1</v>
      </c>
      <c r="Q27">
        <v>5</v>
      </c>
      <c r="R27">
        <v>3</v>
      </c>
      <c r="S27">
        <f t="shared" si="0"/>
        <v>0.33716309857400983</v>
      </c>
      <c r="T27" t="s">
        <v>41</v>
      </c>
      <c r="U27" s="4" t="s">
        <v>53</v>
      </c>
      <c r="V27" s="5" t="s">
        <v>248</v>
      </c>
      <c r="W27" s="5"/>
      <c r="X27" s="5"/>
    </row>
    <row r="28" spans="1:25" x14ac:dyDescent="0.55000000000000004">
      <c r="A28" t="s">
        <v>116</v>
      </c>
      <c r="B28" t="s">
        <v>117</v>
      </c>
      <c r="C28" t="s">
        <v>2</v>
      </c>
      <c r="D28" t="s">
        <v>118</v>
      </c>
      <c r="E28">
        <v>0.14084161913551763</v>
      </c>
      <c r="F28">
        <v>5.8977930807827582E-3</v>
      </c>
      <c r="G28">
        <v>4</v>
      </c>
      <c r="H28">
        <v>2</v>
      </c>
      <c r="I28">
        <v>2</v>
      </c>
      <c r="J28">
        <v>4</v>
      </c>
      <c r="K28">
        <v>1</v>
      </c>
      <c r="L28">
        <v>0.74934326175942367</v>
      </c>
      <c r="M28">
        <v>4.1574988061238612E-3</v>
      </c>
      <c r="N28">
        <v>4</v>
      </c>
      <c r="O28">
        <v>2</v>
      </c>
      <c r="P28">
        <v>5</v>
      </c>
      <c r="Q28">
        <v>3</v>
      </c>
      <c r="R28">
        <v>1</v>
      </c>
      <c r="S28">
        <f t="shared" si="0"/>
        <v>0.25065673824057633</v>
      </c>
      <c r="T28" t="s">
        <v>41</v>
      </c>
      <c r="U28" s="4" t="s">
        <v>54</v>
      </c>
      <c r="V28" s="5" t="s">
        <v>249</v>
      </c>
      <c r="W28" s="5"/>
      <c r="X28" s="5"/>
    </row>
    <row r="29" spans="1:25" x14ac:dyDescent="0.55000000000000004">
      <c r="A29" t="s">
        <v>190</v>
      </c>
      <c r="B29" t="s">
        <v>191</v>
      </c>
      <c r="C29" t="s">
        <v>2</v>
      </c>
      <c r="D29" t="s">
        <v>192</v>
      </c>
      <c r="E29">
        <v>0.26370992233520563</v>
      </c>
      <c r="F29">
        <v>8.291130645451894E-3</v>
      </c>
      <c r="G29">
        <v>2</v>
      </c>
      <c r="H29">
        <v>5</v>
      </c>
      <c r="I29">
        <v>1</v>
      </c>
      <c r="J29">
        <v>1</v>
      </c>
      <c r="K29">
        <v>3</v>
      </c>
      <c r="L29">
        <v>0.10237006794711201</v>
      </c>
      <c r="M29">
        <v>6.7259129551925359E-3</v>
      </c>
      <c r="N29">
        <v>1</v>
      </c>
      <c r="O29">
        <v>1</v>
      </c>
      <c r="P29">
        <v>5</v>
      </c>
      <c r="Q29">
        <v>2</v>
      </c>
      <c r="R29">
        <v>1</v>
      </c>
      <c r="S29">
        <f t="shared" si="0"/>
        <v>0.89762993205288799</v>
      </c>
      <c r="T29" t="s">
        <v>41</v>
      </c>
      <c r="U29" s="4" t="s">
        <v>55</v>
      </c>
      <c r="V29" s="5" t="s">
        <v>250</v>
      </c>
      <c r="W29" s="5"/>
      <c r="X29" s="5"/>
    </row>
    <row r="30" spans="1:25" x14ac:dyDescent="0.55000000000000004">
      <c r="A30" t="s">
        <v>119</v>
      </c>
      <c r="B30" t="s">
        <v>120</v>
      </c>
      <c r="C30" t="s">
        <v>2</v>
      </c>
      <c r="D30" t="s">
        <v>121</v>
      </c>
      <c r="E30">
        <v>0.38999671028106797</v>
      </c>
      <c r="F30">
        <v>6.1754962001050661E-3</v>
      </c>
      <c r="G30">
        <v>5</v>
      </c>
      <c r="H30">
        <v>4</v>
      </c>
      <c r="I30">
        <v>2</v>
      </c>
      <c r="J30">
        <v>3</v>
      </c>
      <c r="K30">
        <v>5</v>
      </c>
      <c r="L30">
        <v>0.16841286818726098</v>
      </c>
      <c r="M30">
        <v>1.2168089687531181E-3</v>
      </c>
      <c r="N30">
        <v>1</v>
      </c>
      <c r="O30">
        <v>4</v>
      </c>
      <c r="P30">
        <v>2</v>
      </c>
      <c r="Q30">
        <v>4</v>
      </c>
      <c r="R30">
        <v>4</v>
      </c>
      <c r="S30">
        <f t="shared" si="0"/>
        <v>0.83158713181273902</v>
      </c>
      <c r="T30" t="s">
        <v>41</v>
      </c>
      <c r="U30" s="4" t="s">
        <v>56</v>
      </c>
      <c r="V30" s="5" t="s">
        <v>251</v>
      </c>
      <c r="W30" s="5"/>
      <c r="X30" s="5"/>
    </row>
    <row r="31" spans="1:25" x14ac:dyDescent="0.55000000000000004">
      <c r="A31" t="s">
        <v>122</v>
      </c>
      <c r="B31" t="s">
        <v>123</v>
      </c>
      <c r="C31" t="s">
        <v>2</v>
      </c>
      <c r="D31" t="s">
        <v>124</v>
      </c>
      <c r="E31">
        <v>0.70938082030059246</v>
      </c>
      <c r="F31">
        <v>1.2856516044850164E-5</v>
      </c>
      <c r="G31">
        <v>1</v>
      </c>
      <c r="H31">
        <v>2</v>
      </c>
      <c r="I31">
        <v>5</v>
      </c>
      <c r="J31">
        <v>5</v>
      </c>
      <c r="K31">
        <v>3</v>
      </c>
      <c r="L31">
        <v>0.37028347800848216</v>
      </c>
      <c r="M31">
        <v>9.5823510215489963E-3</v>
      </c>
      <c r="N31">
        <v>3</v>
      </c>
      <c r="O31">
        <v>2</v>
      </c>
      <c r="P31">
        <v>5</v>
      </c>
      <c r="Q31">
        <v>1</v>
      </c>
      <c r="R31">
        <v>4</v>
      </c>
      <c r="S31">
        <f t="shared" si="0"/>
        <v>0.62971652199151784</v>
      </c>
      <c r="T31" t="s">
        <v>41</v>
      </c>
      <c r="U31" s="4" t="s">
        <v>57</v>
      </c>
      <c r="V31" s="5" t="s">
        <v>252</v>
      </c>
      <c r="W31" s="5"/>
      <c r="X31" s="5"/>
    </row>
    <row r="32" spans="1:25" x14ac:dyDescent="0.55000000000000004">
      <c r="A32" t="s">
        <v>125</v>
      </c>
      <c r="B32" t="s">
        <v>126</v>
      </c>
      <c r="C32" t="s">
        <v>2</v>
      </c>
      <c r="D32" t="s">
        <v>127</v>
      </c>
      <c r="E32">
        <v>0.18695782759328461</v>
      </c>
      <c r="F32">
        <v>8.8023038185935862E-3</v>
      </c>
      <c r="G32">
        <v>1</v>
      </c>
      <c r="H32">
        <v>2</v>
      </c>
      <c r="I32">
        <v>1</v>
      </c>
      <c r="J32">
        <v>1</v>
      </c>
      <c r="K32">
        <v>4</v>
      </c>
      <c r="L32">
        <v>0.44679308897023373</v>
      </c>
      <c r="M32">
        <v>7.541338170953941E-3</v>
      </c>
      <c r="N32">
        <v>3</v>
      </c>
      <c r="O32">
        <v>4</v>
      </c>
      <c r="P32">
        <v>4</v>
      </c>
      <c r="Q32">
        <v>3</v>
      </c>
      <c r="R32">
        <v>3</v>
      </c>
      <c r="S32">
        <f t="shared" si="0"/>
        <v>0.55320691102976627</v>
      </c>
      <c r="T32" t="s">
        <v>41</v>
      </c>
      <c r="U32" s="4" t="s">
        <v>58</v>
      </c>
      <c r="V32" s="5" t="s">
        <v>253</v>
      </c>
      <c r="W32" s="5"/>
      <c r="X32" s="5"/>
    </row>
    <row r="33" spans="1:24" x14ac:dyDescent="0.55000000000000004">
      <c r="A33" t="s">
        <v>128</v>
      </c>
      <c r="B33" t="s">
        <v>129</v>
      </c>
      <c r="C33" t="s">
        <v>2</v>
      </c>
      <c r="D33" t="s">
        <v>130</v>
      </c>
      <c r="E33">
        <v>0.7791179769816714</v>
      </c>
      <c r="F33">
        <v>1.1617243477510309E-3</v>
      </c>
      <c r="G33">
        <v>2</v>
      </c>
      <c r="H33">
        <v>4</v>
      </c>
      <c r="I33">
        <v>3</v>
      </c>
      <c r="J33">
        <v>3</v>
      </c>
      <c r="K33">
        <v>1</v>
      </c>
      <c r="L33">
        <v>0.42602779241424849</v>
      </c>
      <c r="M33">
        <v>4.5865407872090801E-3</v>
      </c>
      <c r="N33">
        <v>5</v>
      </c>
      <c r="O33">
        <v>3</v>
      </c>
      <c r="P33">
        <v>5</v>
      </c>
      <c r="Q33">
        <v>2</v>
      </c>
      <c r="R33">
        <v>2</v>
      </c>
      <c r="S33">
        <f t="shared" si="0"/>
        <v>0.57397220758575151</v>
      </c>
      <c r="T33" t="s">
        <v>41</v>
      </c>
      <c r="U33" s="4" t="s">
        <v>59</v>
      </c>
      <c r="V33" s="5" t="s">
        <v>254</v>
      </c>
      <c r="W33" s="5"/>
      <c r="X33" s="5"/>
    </row>
    <row r="34" spans="1:24" x14ac:dyDescent="0.55000000000000004">
      <c r="A34" t="s">
        <v>131</v>
      </c>
      <c r="B34" t="s">
        <v>132</v>
      </c>
      <c r="C34" t="s">
        <v>2</v>
      </c>
      <c r="D34" t="s">
        <v>133</v>
      </c>
      <c r="E34">
        <v>0.94654516480240203</v>
      </c>
      <c r="F34">
        <v>3.4774953014373934E-3</v>
      </c>
      <c r="G34">
        <v>5</v>
      </c>
      <c r="H34">
        <v>3</v>
      </c>
      <c r="I34">
        <v>5</v>
      </c>
      <c r="J34">
        <v>4</v>
      </c>
      <c r="K34">
        <v>5</v>
      </c>
      <c r="L34">
        <v>0.66920143300315227</v>
      </c>
      <c r="M34">
        <v>1.5848658680536454E-3</v>
      </c>
      <c r="N34">
        <v>1</v>
      </c>
      <c r="O34">
        <v>5</v>
      </c>
      <c r="P34">
        <v>2</v>
      </c>
      <c r="Q34">
        <v>2</v>
      </c>
      <c r="R34">
        <v>1</v>
      </c>
      <c r="S34">
        <f t="shared" ref="S34:S50" si="1">1-L34</f>
        <v>0.33079856699684773</v>
      </c>
      <c r="T34" t="s">
        <v>41</v>
      </c>
      <c r="U34" s="4" t="s">
        <v>60</v>
      </c>
      <c r="V34" s="5" t="s">
        <v>255</v>
      </c>
      <c r="W34" s="5"/>
      <c r="X34" s="5"/>
    </row>
    <row r="35" spans="1:24" x14ac:dyDescent="0.55000000000000004">
      <c r="A35" t="s">
        <v>134</v>
      </c>
      <c r="B35" t="s">
        <v>135</v>
      </c>
      <c r="C35" t="s">
        <v>2</v>
      </c>
      <c r="D35" t="s">
        <v>136</v>
      </c>
      <c r="E35">
        <v>0.79250965130572792</v>
      </c>
      <c r="F35">
        <v>8.9823433113160166E-3</v>
      </c>
      <c r="G35">
        <v>3</v>
      </c>
      <c r="H35">
        <v>4</v>
      </c>
      <c r="I35">
        <v>3</v>
      </c>
      <c r="J35">
        <v>2</v>
      </c>
      <c r="K35">
        <v>5</v>
      </c>
      <c r="L35">
        <v>0.3026187606219265</v>
      </c>
      <c r="M35">
        <v>3.3420451737742884E-3</v>
      </c>
      <c r="N35">
        <v>4</v>
      </c>
      <c r="O35">
        <v>4</v>
      </c>
      <c r="P35">
        <v>5</v>
      </c>
      <c r="Q35">
        <v>5</v>
      </c>
      <c r="R35">
        <v>1</v>
      </c>
      <c r="S35">
        <f t="shared" si="1"/>
        <v>0.6973812393780735</v>
      </c>
      <c r="T35" t="s">
        <v>41</v>
      </c>
      <c r="U35" s="4" t="s">
        <v>61</v>
      </c>
      <c r="V35" s="5" t="s">
        <v>256</v>
      </c>
      <c r="W35" s="5"/>
      <c r="X35" s="5"/>
    </row>
    <row r="36" spans="1:24" x14ac:dyDescent="0.55000000000000004">
      <c r="A36" t="s">
        <v>137</v>
      </c>
      <c r="B36" t="s">
        <v>138</v>
      </c>
      <c r="C36" t="s">
        <v>2</v>
      </c>
      <c r="D36" t="s">
        <v>139</v>
      </c>
      <c r="E36">
        <v>0.2108755293720227</v>
      </c>
      <c r="F36">
        <v>3.9637626189351124E-3</v>
      </c>
      <c r="G36">
        <v>4</v>
      </c>
      <c r="H36">
        <v>3</v>
      </c>
      <c r="I36">
        <v>3</v>
      </c>
      <c r="J36">
        <v>4</v>
      </c>
      <c r="K36">
        <v>3</v>
      </c>
      <c r="L36">
        <v>0.65733207001940319</v>
      </c>
      <c r="M36">
        <v>1.8223866656923494E-3</v>
      </c>
      <c r="N36">
        <v>4</v>
      </c>
      <c r="O36">
        <v>5</v>
      </c>
      <c r="P36">
        <v>5</v>
      </c>
      <c r="Q36">
        <v>2</v>
      </c>
      <c r="R36">
        <v>2</v>
      </c>
      <c r="S36">
        <f t="shared" si="1"/>
        <v>0.34266792998059681</v>
      </c>
      <c r="T36" t="s">
        <v>41</v>
      </c>
      <c r="U36" s="4" t="s">
        <v>62</v>
      </c>
      <c r="V36" s="5" t="s">
        <v>257</v>
      </c>
      <c r="W36" s="5"/>
      <c r="X36" s="5"/>
    </row>
    <row r="37" spans="1:24" x14ac:dyDescent="0.55000000000000004">
      <c r="A37" t="s">
        <v>140</v>
      </c>
      <c r="B37" t="s">
        <v>141</v>
      </c>
      <c r="C37" t="s">
        <v>2</v>
      </c>
      <c r="D37" t="s">
        <v>142</v>
      </c>
      <c r="E37">
        <v>8.4405786277408801E-2</v>
      </c>
      <c r="F37">
        <v>6.3637538219253774E-3</v>
      </c>
      <c r="G37">
        <v>2</v>
      </c>
      <c r="H37">
        <v>2</v>
      </c>
      <c r="I37">
        <v>2</v>
      </c>
      <c r="J37">
        <v>4</v>
      </c>
      <c r="K37">
        <v>3</v>
      </c>
      <c r="L37">
        <v>0.9159971159994299</v>
      </c>
      <c r="M37">
        <v>8.6212252687040353E-4</v>
      </c>
      <c r="N37">
        <v>3</v>
      </c>
      <c r="O37">
        <v>5</v>
      </c>
      <c r="P37">
        <v>3</v>
      </c>
      <c r="Q37">
        <v>1</v>
      </c>
      <c r="R37">
        <v>5</v>
      </c>
      <c r="S37">
        <f t="shared" si="1"/>
        <v>8.4002884000570099E-2</v>
      </c>
      <c r="T37" t="s">
        <v>41</v>
      </c>
      <c r="U37" s="4" t="s">
        <v>63</v>
      </c>
      <c r="V37" s="5" t="s">
        <v>258</v>
      </c>
      <c r="W37" s="5"/>
      <c r="X37" s="5"/>
    </row>
    <row r="38" spans="1:24" x14ac:dyDescent="0.55000000000000004">
      <c r="A38" t="s">
        <v>143</v>
      </c>
      <c r="B38" t="s">
        <v>144</v>
      </c>
      <c r="C38" t="s">
        <v>2</v>
      </c>
      <c r="D38" t="s">
        <v>145</v>
      </c>
      <c r="E38">
        <v>0.17783996194857488</v>
      </c>
      <c r="F38">
        <v>3.7333999654501791E-3</v>
      </c>
      <c r="G38">
        <v>5</v>
      </c>
      <c r="H38">
        <v>2</v>
      </c>
      <c r="I38">
        <v>3</v>
      </c>
      <c r="J38">
        <v>2</v>
      </c>
      <c r="K38">
        <v>4</v>
      </c>
      <c r="L38">
        <v>0.86035303026833976</v>
      </c>
      <c r="M38">
        <v>2.8520241083876807E-3</v>
      </c>
      <c r="N38">
        <v>2</v>
      </c>
      <c r="O38">
        <v>1</v>
      </c>
      <c r="P38">
        <v>4</v>
      </c>
      <c r="Q38">
        <v>4</v>
      </c>
      <c r="R38">
        <v>5</v>
      </c>
      <c r="S38">
        <f t="shared" si="1"/>
        <v>0.13964696973166024</v>
      </c>
      <c r="T38" t="s">
        <v>41</v>
      </c>
      <c r="U38" s="4" t="s">
        <v>64</v>
      </c>
      <c r="V38" s="5" t="s">
        <v>259</v>
      </c>
      <c r="W38" s="5"/>
      <c r="X38" s="5"/>
    </row>
    <row r="39" spans="1:24" x14ac:dyDescent="0.55000000000000004">
      <c r="A39" t="s">
        <v>146</v>
      </c>
      <c r="B39" t="s">
        <v>147</v>
      </c>
      <c r="C39" t="s">
        <v>2</v>
      </c>
      <c r="D39" t="s">
        <v>148</v>
      </c>
      <c r="E39">
        <v>0.19088559769395719</v>
      </c>
      <c r="F39">
        <v>5.7285101397614715E-3</v>
      </c>
      <c r="G39">
        <v>5</v>
      </c>
      <c r="H39">
        <v>3</v>
      </c>
      <c r="I39">
        <v>5</v>
      </c>
      <c r="J39">
        <v>4</v>
      </c>
      <c r="K39">
        <v>1</v>
      </c>
      <c r="L39">
        <v>0.24040304143283808</v>
      </c>
      <c r="M39">
        <v>2.0248274525905608E-3</v>
      </c>
      <c r="N39">
        <v>5</v>
      </c>
      <c r="O39">
        <v>1</v>
      </c>
      <c r="P39">
        <v>4</v>
      </c>
      <c r="Q39">
        <v>1</v>
      </c>
      <c r="R39">
        <v>1</v>
      </c>
      <c r="S39">
        <f t="shared" si="1"/>
        <v>0.75959695856716192</v>
      </c>
      <c r="T39" t="s">
        <v>41</v>
      </c>
      <c r="U39" s="4" t="s">
        <v>65</v>
      </c>
      <c r="V39" s="5" t="s">
        <v>260</v>
      </c>
      <c r="W39" s="5"/>
      <c r="X39" s="5"/>
    </row>
    <row r="40" spans="1:24" x14ac:dyDescent="0.55000000000000004">
      <c r="A40" t="s">
        <v>149</v>
      </c>
      <c r="B40" t="s">
        <v>150</v>
      </c>
      <c r="C40" t="s">
        <v>2</v>
      </c>
      <c r="D40" t="s">
        <v>151</v>
      </c>
      <c r="E40">
        <v>3.2139617003875576E-2</v>
      </c>
      <c r="F40">
        <v>7.354859553654048E-3</v>
      </c>
      <c r="G40">
        <v>1</v>
      </c>
      <c r="H40">
        <v>1</v>
      </c>
      <c r="I40">
        <v>3</v>
      </c>
      <c r="J40">
        <v>1</v>
      </c>
      <c r="K40">
        <v>3</v>
      </c>
      <c r="L40">
        <v>0.91936379141125379</v>
      </c>
      <c r="M40">
        <v>8.7349188388532052E-3</v>
      </c>
      <c r="N40">
        <v>5</v>
      </c>
      <c r="O40">
        <v>4</v>
      </c>
      <c r="P40">
        <v>2</v>
      </c>
      <c r="Q40">
        <v>2</v>
      </c>
      <c r="R40">
        <v>1</v>
      </c>
      <c r="S40">
        <f t="shared" si="1"/>
        <v>8.0636208588746205E-2</v>
      </c>
      <c r="T40" t="s">
        <v>41</v>
      </c>
      <c r="U40" s="4" t="s">
        <v>66</v>
      </c>
      <c r="V40" s="5" t="s">
        <v>261</v>
      </c>
      <c r="W40" s="5"/>
      <c r="X40" s="5"/>
    </row>
    <row r="41" spans="1:24" x14ac:dyDescent="0.55000000000000004">
      <c r="A41" t="s">
        <v>152</v>
      </c>
      <c r="B41" t="s">
        <v>153</v>
      </c>
      <c r="C41" t="s">
        <v>2</v>
      </c>
      <c r="D41" t="s">
        <v>154</v>
      </c>
      <c r="E41">
        <v>0.56457758191003204</v>
      </c>
      <c r="F41">
        <v>9.8570077097426927E-3</v>
      </c>
      <c r="G41">
        <v>3</v>
      </c>
      <c r="H41">
        <v>3</v>
      </c>
      <c r="I41">
        <v>3</v>
      </c>
      <c r="J41">
        <v>5</v>
      </c>
      <c r="K41">
        <v>4</v>
      </c>
      <c r="L41">
        <v>0.46072596680457534</v>
      </c>
      <c r="M41">
        <v>7.2504909746738443E-3</v>
      </c>
      <c r="N41">
        <v>1</v>
      </c>
      <c r="O41">
        <v>4</v>
      </c>
      <c r="P41">
        <v>3</v>
      </c>
      <c r="Q41">
        <v>1</v>
      </c>
      <c r="R41">
        <v>5</v>
      </c>
      <c r="S41">
        <f t="shared" si="1"/>
        <v>0.53927403319542466</v>
      </c>
      <c r="T41" t="s">
        <v>41</v>
      </c>
      <c r="U41" s="4" t="s">
        <v>67</v>
      </c>
      <c r="V41" s="5" t="s">
        <v>262</v>
      </c>
      <c r="W41" s="5"/>
      <c r="X41" s="5"/>
    </row>
    <row r="42" spans="1:24" x14ac:dyDescent="0.55000000000000004">
      <c r="A42" t="s">
        <v>155</v>
      </c>
      <c r="B42" t="s">
        <v>156</v>
      </c>
      <c r="C42" t="s">
        <v>2</v>
      </c>
      <c r="D42" t="s">
        <v>157</v>
      </c>
      <c r="E42">
        <v>0.50628745118662</v>
      </c>
      <c r="F42">
        <v>5.9134998839752819E-3</v>
      </c>
      <c r="G42">
        <v>3</v>
      </c>
      <c r="H42">
        <v>5</v>
      </c>
      <c r="I42">
        <v>3</v>
      </c>
      <c r="J42">
        <v>4</v>
      </c>
      <c r="K42">
        <v>1</v>
      </c>
      <c r="L42">
        <v>0.30134216756747134</v>
      </c>
      <c r="M42">
        <v>2.5470580062650384E-3</v>
      </c>
      <c r="N42">
        <v>5</v>
      </c>
      <c r="O42">
        <v>3</v>
      </c>
      <c r="P42">
        <v>5</v>
      </c>
      <c r="Q42">
        <v>1</v>
      </c>
      <c r="R42">
        <v>4</v>
      </c>
      <c r="S42">
        <f t="shared" si="1"/>
        <v>0.69865783243252866</v>
      </c>
      <c r="T42" t="s">
        <v>41</v>
      </c>
      <c r="U42" s="4" t="s">
        <v>68</v>
      </c>
      <c r="V42" s="5" t="s">
        <v>263</v>
      </c>
      <c r="W42" s="5"/>
      <c r="X42" s="5"/>
    </row>
    <row r="43" spans="1:24" x14ac:dyDescent="0.55000000000000004">
      <c r="A43" t="s">
        <v>158</v>
      </c>
      <c r="B43" t="s">
        <v>159</v>
      </c>
      <c r="C43" t="s">
        <v>2</v>
      </c>
      <c r="D43" t="s">
        <v>160</v>
      </c>
      <c r="E43">
        <v>0.2462159622265736</v>
      </c>
      <c r="F43">
        <v>9.0630265062786632E-3</v>
      </c>
      <c r="G43">
        <v>1</v>
      </c>
      <c r="H43">
        <v>4</v>
      </c>
      <c r="I43">
        <v>2</v>
      </c>
      <c r="J43">
        <v>2</v>
      </c>
      <c r="K43">
        <v>1</v>
      </c>
      <c r="L43">
        <v>0.67524705480504499</v>
      </c>
      <c r="M43">
        <v>2.4503857896722848E-3</v>
      </c>
      <c r="N43">
        <v>2</v>
      </c>
      <c r="O43">
        <v>2</v>
      </c>
      <c r="P43">
        <v>1</v>
      </c>
      <c r="Q43">
        <v>2</v>
      </c>
      <c r="R43">
        <v>3</v>
      </c>
      <c r="S43">
        <f t="shared" si="1"/>
        <v>0.32475294519495501</v>
      </c>
      <c r="T43" t="s">
        <v>41</v>
      </c>
      <c r="U43" s="4" t="s">
        <v>69</v>
      </c>
      <c r="V43" s="5" t="s">
        <v>264</v>
      </c>
      <c r="W43" s="5"/>
      <c r="X43" s="5"/>
    </row>
    <row r="44" spans="1:24" x14ac:dyDescent="0.55000000000000004">
      <c r="A44" t="s">
        <v>161</v>
      </c>
      <c r="B44" t="s">
        <v>162</v>
      </c>
      <c r="C44" t="s">
        <v>2</v>
      </c>
      <c r="D44" t="s">
        <v>163</v>
      </c>
      <c r="E44">
        <v>0.3596888100748854</v>
      </c>
      <c r="F44">
        <v>6.6161861114380736E-3</v>
      </c>
      <c r="G44">
        <v>2</v>
      </c>
      <c r="H44">
        <v>1</v>
      </c>
      <c r="I44">
        <v>1</v>
      </c>
      <c r="J44">
        <v>3</v>
      </c>
      <c r="K44">
        <v>1</v>
      </c>
      <c r="L44">
        <v>0.74951244436610531</v>
      </c>
      <c r="M44">
        <v>2.3208881026338247E-3</v>
      </c>
      <c r="N44">
        <v>1</v>
      </c>
      <c r="O44">
        <v>3</v>
      </c>
      <c r="P44">
        <v>1</v>
      </c>
      <c r="Q44">
        <v>3</v>
      </c>
      <c r="R44">
        <v>5</v>
      </c>
      <c r="S44">
        <f t="shared" si="1"/>
        <v>0.25048755563389469</v>
      </c>
      <c r="T44" t="s">
        <v>41</v>
      </c>
      <c r="U44" s="4" t="s">
        <v>70</v>
      </c>
      <c r="V44" s="5" t="s">
        <v>265</v>
      </c>
      <c r="W44" s="5"/>
      <c r="X44" s="5"/>
    </row>
    <row r="45" spans="1:24" x14ac:dyDescent="0.55000000000000004">
      <c r="A45" t="s">
        <v>164</v>
      </c>
      <c r="B45" t="s">
        <v>165</v>
      </c>
      <c r="C45" t="s">
        <v>2</v>
      </c>
      <c r="D45" t="s">
        <v>166</v>
      </c>
      <c r="E45">
        <v>0.29444441405180366</v>
      </c>
      <c r="F45">
        <v>8.5585728359265627E-3</v>
      </c>
      <c r="G45">
        <v>3</v>
      </c>
      <c r="H45">
        <v>1</v>
      </c>
      <c r="I45">
        <v>4</v>
      </c>
      <c r="J45">
        <v>5</v>
      </c>
      <c r="K45">
        <v>4</v>
      </c>
      <c r="L45">
        <v>0.94908627586015371</v>
      </c>
      <c r="M45">
        <v>4.7077124962892148E-3</v>
      </c>
      <c r="N45">
        <v>3</v>
      </c>
      <c r="O45">
        <v>4</v>
      </c>
      <c r="P45">
        <v>4</v>
      </c>
      <c r="Q45">
        <v>3</v>
      </c>
      <c r="R45">
        <v>4</v>
      </c>
      <c r="S45">
        <f t="shared" si="1"/>
        <v>5.0913724139846295E-2</v>
      </c>
      <c r="T45" t="s">
        <v>41</v>
      </c>
      <c r="U45" s="4" t="s">
        <v>71</v>
      </c>
      <c r="V45" s="5" t="s">
        <v>266</v>
      </c>
      <c r="W45" s="5"/>
      <c r="X45" s="5"/>
    </row>
    <row r="46" spans="1:24" x14ac:dyDescent="0.55000000000000004">
      <c r="A46" t="s">
        <v>167</v>
      </c>
      <c r="B46" t="s">
        <v>168</v>
      </c>
      <c r="C46" t="s">
        <v>2</v>
      </c>
      <c r="D46" t="s">
        <v>169</v>
      </c>
      <c r="E46">
        <v>0.84443856875720535</v>
      </c>
      <c r="F46">
        <v>8.0399011369223731E-3</v>
      </c>
      <c r="G46">
        <v>4</v>
      </c>
      <c r="H46">
        <v>5</v>
      </c>
      <c r="I46">
        <v>3</v>
      </c>
      <c r="J46">
        <v>1</v>
      </c>
      <c r="K46">
        <v>3</v>
      </c>
      <c r="L46">
        <v>0.63264015492889036</v>
      </c>
      <c r="M46">
        <v>2.2120885677457936E-3</v>
      </c>
      <c r="N46">
        <v>4</v>
      </c>
      <c r="O46">
        <v>4</v>
      </c>
      <c r="P46">
        <v>3</v>
      </c>
      <c r="Q46">
        <v>3</v>
      </c>
      <c r="R46">
        <v>1</v>
      </c>
      <c r="S46">
        <f t="shared" si="1"/>
        <v>0.36735984507110964</v>
      </c>
      <c r="T46" t="s">
        <v>41</v>
      </c>
      <c r="U46" s="4" t="s">
        <v>72</v>
      </c>
      <c r="V46" s="5" t="s">
        <v>267</v>
      </c>
      <c r="W46" s="5"/>
      <c r="X46" s="5"/>
    </row>
    <row r="47" spans="1:24" x14ac:dyDescent="0.55000000000000004">
      <c r="A47" t="s">
        <v>170</v>
      </c>
      <c r="B47" t="s">
        <v>171</v>
      </c>
      <c r="C47" t="s">
        <v>2</v>
      </c>
      <c r="D47" t="s">
        <v>172</v>
      </c>
      <c r="E47">
        <v>0.14993828405413545</v>
      </c>
      <c r="F47">
        <v>3.9936778857356699E-3</v>
      </c>
      <c r="G47">
        <v>3</v>
      </c>
      <c r="H47">
        <v>5</v>
      </c>
      <c r="I47">
        <v>2</v>
      </c>
      <c r="J47">
        <v>5</v>
      </c>
      <c r="K47">
        <v>4</v>
      </c>
      <c r="L47">
        <v>0.22528252338237509</v>
      </c>
      <c r="M47">
        <v>8.1152339530886665E-3</v>
      </c>
      <c r="N47">
        <v>2</v>
      </c>
      <c r="O47">
        <v>5</v>
      </c>
      <c r="P47">
        <v>2</v>
      </c>
      <c r="Q47">
        <v>1</v>
      </c>
      <c r="R47">
        <v>5</v>
      </c>
      <c r="S47">
        <f t="shared" si="1"/>
        <v>0.77471747661762491</v>
      </c>
      <c r="T47" t="s">
        <v>41</v>
      </c>
      <c r="U47" s="4" t="s">
        <v>73</v>
      </c>
      <c r="V47" s="5" t="s">
        <v>268</v>
      </c>
      <c r="W47" s="5"/>
      <c r="X47" s="5"/>
    </row>
    <row r="48" spans="1:24" x14ac:dyDescent="0.55000000000000004">
      <c r="A48" t="s">
        <v>173</v>
      </c>
      <c r="B48" t="s">
        <v>174</v>
      </c>
      <c r="C48" t="s">
        <v>2</v>
      </c>
      <c r="D48" t="s">
        <v>175</v>
      </c>
      <c r="E48">
        <v>0.87240967046395068</v>
      </c>
      <c r="F48">
        <v>6.2773303435460018E-3</v>
      </c>
      <c r="G48">
        <v>2</v>
      </c>
      <c r="H48">
        <v>5</v>
      </c>
      <c r="I48">
        <v>5</v>
      </c>
      <c r="J48">
        <v>3</v>
      </c>
      <c r="K48">
        <v>3</v>
      </c>
      <c r="L48">
        <v>0.74244663969767744</v>
      </c>
      <c r="M48">
        <v>2.5578935905022273E-3</v>
      </c>
      <c r="N48">
        <v>1</v>
      </c>
      <c r="O48">
        <v>4</v>
      </c>
      <c r="P48">
        <v>5</v>
      </c>
      <c r="Q48">
        <v>1</v>
      </c>
      <c r="R48">
        <v>3</v>
      </c>
      <c r="S48">
        <f t="shared" si="1"/>
        <v>0.25755336030232256</v>
      </c>
      <c r="T48" t="s">
        <v>41</v>
      </c>
      <c r="U48" s="4" t="s">
        <v>74</v>
      </c>
      <c r="V48" s="5" t="s">
        <v>269</v>
      </c>
      <c r="W48" s="5"/>
      <c r="X48" s="5"/>
    </row>
    <row r="49" spans="1:24" x14ac:dyDescent="0.55000000000000004">
      <c r="A49" t="s">
        <v>176</v>
      </c>
      <c r="B49" t="s">
        <v>177</v>
      </c>
      <c r="C49" t="s">
        <v>2</v>
      </c>
      <c r="D49" t="s">
        <v>178</v>
      </c>
      <c r="E49">
        <v>0.22990518201627308</v>
      </c>
      <c r="F49">
        <v>6.1727147353692014E-3</v>
      </c>
      <c r="G49">
        <v>5</v>
      </c>
      <c r="H49">
        <v>1</v>
      </c>
      <c r="I49">
        <v>1</v>
      </c>
      <c r="J49">
        <v>5</v>
      </c>
      <c r="K49">
        <v>2</v>
      </c>
      <c r="L49">
        <v>0.56458018698470702</v>
      </c>
      <c r="M49">
        <v>7.0772866338867481E-3</v>
      </c>
      <c r="N49">
        <v>5</v>
      </c>
      <c r="O49">
        <v>4</v>
      </c>
      <c r="P49">
        <v>4</v>
      </c>
      <c r="Q49">
        <v>3</v>
      </c>
      <c r="R49">
        <v>3</v>
      </c>
      <c r="S49">
        <f t="shared" si="1"/>
        <v>0.43541981301529298</v>
      </c>
      <c r="T49" t="s">
        <v>41</v>
      </c>
      <c r="U49" s="4" t="s">
        <v>75</v>
      </c>
      <c r="V49" s="5" t="s">
        <v>270</v>
      </c>
      <c r="W49" s="5"/>
      <c r="X49" s="5"/>
    </row>
    <row r="50" spans="1:24" x14ac:dyDescent="0.55000000000000004">
      <c r="A50" t="s">
        <v>179</v>
      </c>
      <c r="B50" t="s">
        <v>180</v>
      </c>
      <c r="C50" t="s">
        <v>2</v>
      </c>
      <c r="D50" t="s">
        <v>181</v>
      </c>
      <c r="E50">
        <v>5.1892541068464193E-2</v>
      </c>
      <c r="F50">
        <v>7.0148684919841752E-3</v>
      </c>
      <c r="G50">
        <v>4</v>
      </c>
      <c r="H50">
        <v>3</v>
      </c>
      <c r="I50">
        <v>2</v>
      </c>
      <c r="J50">
        <v>5</v>
      </c>
      <c r="K50">
        <v>3</v>
      </c>
      <c r="L50">
        <v>0.439694251821663</v>
      </c>
      <c r="M50">
        <v>5.3670462771680484E-3</v>
      </c>
      <c r="N50">
        <v>5</v>
      </c>
      <c r="O50">
        <v>4</v>
      </c>
      <c r="P50">
        <v>1</v>
      </c>
      <c r="Q50">
        <v>5</v>
      </c>
      <c r="R50">
        <v>1</v>
      </c>
      <c r="S50">
        <f t="shared" si="1"/>
        <v>0.560305748178337</v>
      </c>
      <c r="T50" t="s">
        <v>41</v>
      </c>
      <c r="U50" s="4" t="s">
        <v>76</v>
      </c>
      <c r="V50" s="5" t="s">
        <v>271</v>
      </c>
      <c r="W50" s="5"/>
      <c r="X50" s="5"/>
    </row>
    <row r="51" spans="1:24" x14ac:dyDescent="0.55000000000000004">
      <c r="A51" t="s">
        <v>196</v>
      </c>
      <c r="B51" t="s">
        <v>294</v>
      </c>
      <c r="C51" t="s">
        <v>2</v>
      </c>
      <c r="D51" t="s">
        <v>296</v>
      </c>
      <c r="E51">
        <v>0.72191434380727115</v>
      </c>
      <c r="F51">
        <v>4.3980042977783476E-3</v>
      </c>
      <c r="G51">
        <v>5</v>
      </c>
      <c r="H51">
        <v>2</v>
      </c>
      <c r="I51">
        <v>5</v>
      </c>
      <c r="J51">
        <v>4</v>
      </c>
      <c r="K51">
        <v>4</v>
      </c>
      <c r="L51">
        <v>0.94908627586015371</v>
      </c>
      <c r="M51">
        <v>4.7077124962892148E-3</v>
      </c>
      <c r="N51">
        <v>3</v>
      </c>
      <c r="O51">
        <v>4</v>
      </c>
      <c r="P51">
        <v>4</v>
      </c>
      <c r="Q51">
        <v>3</v>
      </c>
      <c r="R51">
        <v>4</v>
      </c>
      <c r="S51">
        <f>1-L51</f>
        <v>5.0913724139846295E-2</v>
      </c>
      <c r="T51" t="s">
        <v>39</v>
      </c>
      <c r="U51" s="4" t="s">
        <v>215</v>
      </c>
      <c r="V51" s="5" t="s">
        <v>281</v>
      </c>
      <c r="W51" s="4" t="s">
        <v>282</v>
      </c>
    </row>
    <row r="52" spans="1:24" x14ac:dyDescent="0.55000000000000004">
      <c r="A52" t="s">
        <v>197</v>
      </c>
      <c r="B52" s="4" t="s">
        <v>295</v>
      </c>
      <c r="C52" t="s">
        <v>2</v>
      </c>
      <c r="D52" t="s">
        <v>297</v>
      </c>
      <c r="E52">
        <v>3.3187972617449324E-2</v>
      </c>
      <c r="F52">
        <v>6.7249171695745701E-3</v>
      </c>
      <c r="G52">
        <v>4</v>
      </c>
      <c r="H52">
        <v>3</v>
      </c>
      <c r="I52">
        <v>4</v>
      </c>
      <c r="J52">
        <v>2</v>
      </c>
      <c r="K52">
        <v>2</v>
      </c>
      <c r="L52">
        <v>0.63264015492889036</v>
      </c>
      <c r="M52">
        <v>2.2120885677457936E-3</v>
      </c>
      <c r="N52">
        <v>4</v>
      </c>
      <c r="O52">
        <v>4</v>
      </c>
      <c r="P52">
        <v>3</v>
      </c>
      <c r="Q52">
        <v>3</v>
      </c>
      <c r="R52">
        <v>1</v>
      </c>
      <c r="S52">
        <f>1-L52</f>
        <v>0.36735984507110964</v>
      </c>
      <c r="T52" t="s">
        <v>39</v>
      </c>
      <c r="U52" s="4" t="s">
        <v>216</v>
      </c>
      <c r="V52" s="5" t="s">
        <v>281</v>
      </c>
      <c r="W52" s="4" t="s">
        <v>282</v>
      </c>
    </row>
    <row r="53" spans="1:24" x14ac:dyDescent="0.55000000000000004">
      <c r="A53" t="s">
        <v>288</v>
      </c>
      <c r="B53" t="s">
        <v>289</v>
      </c>
      <c r="C53" t="s">
        <v>2</v>
      </c>
      <c r="D53" t="s">
        <v>290</v>
      </c>
      <c r="E53">
        <v>7.4950531145233534E-2</v>
      </c>
      <c r="F53">
        <v>4.4797382932572115E-3</v>
      </c>
      <c r="G53">
        <v>4</v>
      </c>
      <c r="H53">
        <v>4</v>
      </c>
      <c r="I53">
        <v>2</v>
      </c>
      <c r="J53">
        <v>1</v>
      </c>
      <c r="K53">
        <v>1</v>
      </c>
      <c r="L53">
        <v>0.71396399307893577</v>
      </c>
      <c r="M53">
        <v>4.9997455849664111E-3</v>
      </c>
      <c r="N53">
        <v>5</v>
      </c>
      <c r="O53">
        <v>2</v>
      </c>
      <c r="P53">
        <v>1</v>
      </c>
      <c r="Q53">
        <v>5</v>
      </c>
      <c r="R53">
        <v>1</v>
      </c>
      <c r="S53">
        <f>1-L53</f>
        <v>0.28603600692106423</v>
      </c>
      <c r="T53" t="s">
        <v>40</v>
      </c>
      <c r="U53" s="4" t="s">
        <v>213</v>
      </c>
      <c r="V53" s="5" t="s">
        <v>285</v>
      </c>
      <c r="W53" s="4" t="s">
        <v>284</v>
      </c>
    </row>
    <row r="54" spans="1:24" x14ac:dyDescent="0.55000000000000004">
      <c r="A54" t="s">
        <v>291</v>
      </c>
      <c r="B54" t="s">
        <v>292</v>
      </c>
      <c r="C54" t="s">
        <v>2</v>
      </c>
      <c r="D54" t="s">
        <v>293</v>
      </c>
      <c r="E54">
        <v>0.26473887088891568</v>
      </c>
      <c r="F54">
        <v>7.4975960537261967E-3</v>
      </c>
      <c r="G54">
        <v>1</v>
      </c>
      <c r="H54">
        <v>3</v>
      </c>
      <c r="I54">
        <v>3</v>
      </c>
      <c r="J54">
        <v>1</v>
      </c>
      <c r="K54">
        <v>1</v>
      </c>
      <c r="L54">
        <v>0.74951244436610531</v>
      </c>
      <c r="M54">
        <v>2.3208881026338247E-3</v>
      </c>
      <c r="N54">
        <v>1</v>
      </c>
      <c r="O54">
        <v>3</v>
      </c>
      <c r="P54">
        <v>1</v>
      </c>
      <c r="Q54">
        <v>3</v>
      </c>
      <c r="R54">
        <v>5</v>
      </c>
      <c r="S54">
        <f>1-L54</f>
        <v>0.25048755563389469</v>
      </c>
      <c r="T54" t="s">
        <v>40</v>
      </c>
      <c r="U54" s="4" t="s">
        <v>214</v>
      </c>
      <c r="V54" s="5" t="s">
        <v>285</v>
      </c>
      <c r="W54" s="4" t="s">
        <v>284</v>
      </c>
    </row>
    <row r="55" spans="1:24" x14ac:dyDescent="0.55000000000000004">
      <c r="C55" s="5"/>
      <c r="D55" s="5"/>
      <c r="E55" s="5"/>
    </row>
    <row r="56" spans="1:24" x14ac:dyDescent="0.55000000000000004">
      <c r="C56" s="5"/>
    </row>
    <row r="57" spans="1:24" x14ac:dyDescent="0.55000000000000004">
      <c r="C57" s="5"/>
    </row>
    <row r="58" spans="1:24" x14ac:dyDescent="0.55000000000000004">
      <c r="C58" s="5"/>
      <c r="D58" s="5"/>
      <c r="E58" s="5"/>
    </row>
    <row r="59" spans="1:24" x14ac:dyDescent="0.55000000000000004">
      <c r="C59" s="5"/>
      <c r="D59" s="5"/>
      <c r="E59" s="5"/>
    </row>
    <row r="60" spans="1:24" x14ac:dyDescent="0.55000000000000004">
      <c r="C60" s="5"/>
      <c r="D60" s="5"/>
      <c r="E60" s="5"/>
    </row>
    <row r="61" spans="1:24" x14ac:dyDescent="0.55000000000000004">
      <c r="C61" s="5"/>
      <c r="D61" s="5"/>
      <c r="E61" s="5"/>
    </row>
    <row r="62" spans="1:24" x14ac:dyDescent="0.55000000000000004">
      <c r="C62" s="5"/>
      <c r="D62" s="5"/>
      <c r="E62" s="5"/>
    </row>
    <row r="63" spans="1:24" x14ac:dyDescent="0.55000000000000004">
      <c r="C63" s="5"/>
      <c r="D63" s="5"/>
      <c r="E63" s="5"/>
      <c r="F63" s="5"/>
    </row>
    <row r="64" spans="1:24" x14ac:dyDescent="0.55000000000000004">
      <c r="C64" s="5"/>
      <c r="D64" s="5"/>
      <c r="E64" s="5"/>
    </row>
    <row r="65" spans="3:5" x14ac:dyDescent="0.55000000000000004">
      <c r="C65" s="5"/>
      <c r="D65" s="5"/>
      <c r="E65" s="5"/>
    </row>
    <row r="66" spans="3:5" x14ac:dyDescent="0.55000000000000004">
      <c r="C66" s="5"/>
      <c r="D66" s="5"/>
      <c r="E66" s="5"/>
    </row>
    <row r="67" spans="3:5" x14ac:dyDescent="0.55000000000000004">
      <c r="C67" s="5"/>
      <c r="D67" s="5"/>
      <c r="E67" s="5"/>
    </row>
    <row r="68" spans="3:5" x14ac:dyDescent="0.55000000000000004">
      <c r="C68" s="5"/>
      <c r="D68" s="5"/>
      <c r="E68" s="5"/>
    </row>
    <row r="69" spans="3:5" x14ac:dyDescent="0.55000000000000004">
      <c r="C69" s="5"/>
      <c r="D69" s="5"/>
      <c r="E69" s="5"/>
    </row>
    <row r="70" spans="3:5" x14ac:dyDescent="0.55000000000000004">
      <c r="C70" s="5"/>
      <c r="D70" s="5"/>
      <c r="E70" s="5"/>
    </row>
    <row r="71" spans="3:5" x14ac:dyDescent="0.55000000000000004">
      <c r="C71" s="5"/>
      <c r="D71" s="5"/>
      <c r="E71" s="5"/>
    </row>
    <row r="72" spans="3:5" x14ac:dyDescent="0.55000000000000004">
      <c r="C72" s="5"/>
      <c r="D72" s="5"/>
      <c r="E72" s="5"/>
    </row>
    <row r="73" spans="3:5" x14ac:dyDescent="0.55000000000000004">
      <c r="C73" s="5"/>
      <c r="D73" s="5"/>
      <c r="E73" s="5"/>
    </row>
    <row r="74" spans="3:5" x14ac:dyDescent="0.55000000000000004">
      <c r="C74" s="5"/>
      <c r="D74" s="5"/>
      <c r="E74" s="5"/>
    </row>
    <row r="75" spans="3:5" x14ac:dyDescent="0.55000000000000004">
      <c r="C75" s="5"/>
      <c r="D75" s="5"/>
      <c r="E75" s="5"/>
    </row>
    <row r="76" spans="3:5" x14ac:dyDescent="0.55000000000000004">
      <c r="C76" s="5"/>
      <c r="D76" s="5"/>
      <c r="E76" s="5"/>
    </row>
    <row r="77" spans="3:5" x14ac:dyDescent="0.55000000000000004">
      <c r="C77" s="5"/>
      <c r="D77" s="5"/>
      <c r="E77" s="5"/>
    </row>
    <row r="78" spans="3:5" x14ac:dyDescent="0.55000000000000004">
      <c r="C78" s="5"/>
      <c r="D78" s="5"/>
      <c r="E78" s="5"/>
    </row>
    <row r="79" spans="3:5" x14ac:dyDescent="0.55000000000000004">
      <c r="C79" s="5"/>
      <c r="D79" s="5"/>
      <c r="E79" s="5"/>
    </row>
    <row r="80" spans="3:5" x14ac:dyDescent="0.55000000000000004">
      <c r="C80" s="5"/>
      <c r="D80" s="5"/>
      <c r="E80" s="5"/>
    </row>
    <row r="81" spans="3:5" x14ac:dyDescent="0.55000000000000004">
      <c r="C81" s="5"/>
      <c r="D81" s="5"/>
      <c r="E81" s="5"/>
    </row>
    <row r="82" spans="3:5" x14ac:dyDescent="0.55000000000000004">
      <c r="C82" s="5"/>
      <c r="D82" s="5"/>
      <c r="E82" s="5"/>
    </row>
    <row r="83" spans="3:5" x14ac:dyDescent="0.55000000000000004">
      <c r="C83" s="5"/>
      <c r="D83" s="5"/>
      <c r="E83" s="5"/>
    </row>
    <row r="84" spans="3:5" x14ac:dyDescent="0.55000000000000004">
      <c r="C84" s="5"/>
      <c r="D84" s="5"/>
      <c r="E84" s="5"/>
    </row>
    <row r="85" spans="3:5" x14ac:dyDescent="0.55000000000000004">
      <c r="C85" s="5"/>
      <c r="D85" s="5"/>
      <c r="E85" s="5"/>
    </row>
    <row r="86" spans="3:5" x14ac:dyDescent="0.55000000000000004">
      <c r="C86" s="5"/>
      <c r="D86" s="5"/>
      <c r="E86" s="5"/>
    </row>
    <row r="87" spans="3:5" x14ac:dyDescent="0.55000000000000004">
      <c r="C87" s="5"/>
      <c r="D87" s="5"/>
      <c r="E87" s="5"/>
    </row>
  </sheetData>
  <autoFilter ref="A1:U1">
    <sortState ref="A2:U54">
      <sortCondition ref="T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opLeftCell="D1" workbookViewId="0">
      <selection sqref="A1:W4"/>
    </sheetView>
  </sheetViews>
  <sheetFormatPr defaultRowHeight="14.4" x14ac:dyDescent="0.55000000000000004"/>
  <cols>
    <col min="3" max="3" width="43.734375" customWidth="1"/>
  </cols>
  <sheetData>
    <row r="1" spans="1:23" x14ac:dyDescent="0.55000000000000004">
      <c r="A1" t="s">
        <v>196</v>
      </c>
      <c r="B1" t="s">
        <v>231</v>
      </c>
      <c r="C1" t="s">
        <v>2</v>
      </c>
      <c r="D1" t="s">
        <v>233</v>
      </c>
      <c r="E1">
        <v>0.72191434380727115</v>
      </c>
      <c r="F1">
        <v>4.3980042977783476E-3</v>
      </c>
      <c r="G1">
        <v>5</v>
      </c>
      <c r="H1">
        <v>2</v>
      </c>
      <c r="I1">
        <v>5</v>
      </c>
      <c r="J1">
        <v>4</v>
      </c>
      <c r="K1">
        <v>4</v>
      </c>
      <c r="L1">
        <v>0.94908627586015371</v>
      </c>
      <c r="M1">
        <v>4.7077124962892148E-3</v>
      </c>
      <c r="N1">
        <v>3</v>
      </c>
      <c r="O1">
        <v>4</v>
      </c>
      <c r="P1">
        <v>4</v>
      </c>
      <c r="Q1">
        <v>3</v>
      </c>
      <c r="R1">
        <v>4</v>
      </c>
      <c r="S1">
        <f>1-L1</f>
        <v>5.0913724139846295E-2</v>
      </c>
      <c r="T1" t="s">
        <v>39</v>
      </c>
      <c r="U1" s="4" t="s">
        <v>215</v>
      </c>
      <c r="V1" s="5" t="s">
        <v>281</v>
      </c>
      <c r="W1" s="4" t="s">
        <v>282</v>
      </c>
    </row>
    <row r="2" spans="1:23" x14ac:dyDescent="0.55000000000000004">
      <c r="A2" t="s">
        <v>197</v>
      </c>
      <c r="B2" t="s">
        <v>232</v>
      </c>
      <c r="C2" t="s">
        <v>2</v>
      </c>
      <c r="D2" t="s">
        <v>234</v>
      </c>
      <c r="E2">
        <v>3.3187972617449324E-2</v>
      </c>
      <c r="F2">
        <v>6.7249171695745701E-3</v>
      </c>
      <c r="G2">
        <v>4</v>
      </c>
      <c r="H2">
        <v>3</v>
      </c>
      <c r="I2">
        <v>4</v>
      </c>
      <c r="J2">
        <v>2</v>
      </c>
      <c r="K2">
        <v>2</v>
      </c>
      <c r="L2">
        <v>0.63264015492889036</v>
      </c>
      <c r="M2">
        <v>2.2120885677457936E-3</v>
      </c>
      <c r="N2">
        <v>4</v>
      </c>
      <c r="O2">
        <v>4</v>
      </c>
      <c r="P2">
        <v>3</v>
      </c>
      <c r="Q2">
        <v>3</v>
      </c>
      <c r="R2">
        <v>1</v>
      </c>
      <c r="S2">
        <f>1-L2</f>
        <v>0.36735984507110964</v>
      </c>
      <c r="T2" t="s">
        <v>39</v>
      </c>
      <c r="U2" s="4" t="s">
        <v>216</v>
      </c>
      <c r="V2" s="5" t="s">
        <v>281</v>
      </c>
      <c r="W2" s="4" t="s">
        <v>282</v>
      </c>
    </row>
    <row r="3" spans="1:23" x14ac:dyDescent="0.55000000000000004">
      <c r="A3" t="s">
        <v>194</v>
      </c>
      <c r="B3" t="s">
        <v>236</v>
      </c>
      <c r="C3" t="s">
        <v>2</v>
      </c>
      <c r="D3" t="s">
        <v>235</v>
      </c>
      <c r="E3">
        <v>7.4950531145233534E-2</v>
      </c>
      <c r="F3">
        <v>4.4797382932572115E-3</v>
      </c>
      <c r="G3">
        <v>4</v>
      </c>
      <c r="H3">
        <v>4</v>
      </c>
      <c r="I3">
        <v>2</v>
      </c>
      <c r="J3">
        <v>1</v>
      </c>
      <c r="K3">
        <v>1</v>
      </c>
      <c r="L3">
        <v>0.71396399307893577</v>
      </c>
      <c r="M3">
        <v>4.9997455849664111E-3</v>
      </c>
      <c r="N3">
        <v>5</v>
      </c>
      <c r="O3">
        <v>2</v>
      </c>
      <c r="P3">
        <v>1</v>
      </c>
      <c r="Q3">
        <v>5</v>
      </c>
      <c r="R3">
        <v>1</v>
      </c>
      <c r="S3">
        <f>1-L3</f>
        <v>0.28603600692106423</v>
      </c>
      <c r="T3" t="s">
        <v>40</v>
      </c>
      <c r="U3" s="4" t="s">
        <v>213</v>
      </c>
      <c r="V3" s="5" t="s">
        <v>285</v>
      </c>
      <c r="W3" s="4" t="s">
        <v>284</v>
      </c>
    </row>
    <row r="4" spans="1:23" x14ac:dyDescent="0.55000000000000004">
      <c r="A4" t="s">
        <v>195</v>
      </c>
      <c r="B4" t="s">
        <v>237</v>
      </c>
      <c r="C4" t="s">
        <v>2</v>
      </c>
      <c r="D4" t="s">
        <v>238</v>
      </c>
      <c r="E4">
        <v>0.26473887088891568</v>
      </c>
      <c r="F4">
        <v>7.4975960537261967E-3</v>
      </c>
      <c r="G4">
        <v>1</v>
      </c>
      <c r="H4">
        <v>3</v>
      </c>
      <c r="I4">
        <v>3</v>
      </c>
      <c r="J4">
        <v>1</v>
      </c>
      <c r="K4">
        <v>1</v>
      </c>
      <c r="L4">
        <v>0.74951244436610531</v>
      </c>
      <c r="M4">
        <v>2.3208881026338247E-3</v>
      </c>
      <c r="N4">
        <v>1</v>
      </c>
      <c r="O4">
        <v>3</v>
      </c>
      <c r="P4">
        <v>1</v>
      </c>
      <c r="Q4">
        <v>3</v>
      </c>
      <c r="R4">
        <v>5</v>
      </c>
      <c r="S4">
        <f>1-L4</f>
        <v>0.25048755563389469</v>
      </c>
      <c r="T4" t="s">
        <v>40</v>
      </c>
      <c r="U4" s="4" t="s">
        <v>214</v>
      </c>
      <c r="V4" s="5" t="s">
        <v>285</v>
      </c>
      <c r="W4" s="4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WW_props</vt:lpstr>
      <vt:lpstr>Missing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Lesage</dc:creator>
  <cp:lastModifiedBy>Pascal Lesage</cp:lastModifiedBy>
  <dcterms:created xsi:type="dcterms:W3CDTF">2017-08-11T00:14:48Z</dcterms:created>
  <dcterms:modified xsi:type="dcterms:W3CDTF">2017-08-21T13:54:20Z</dcterms:modified>
</cp:coreProperties>
</file>